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3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drawings/drawing4.xml" ContentType="application/vnd.openxmlformats-officedocument.drawing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drawings/drawing5.xml" ContentType="application/vnd.openxmlformats-officedocument.drawing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6.xml" ContentType="application/vnd.openxmlformats-officedocument.drawing+xml"/>
  <Override PartName="/xl/comments23.xml" ContentType="application/vnd.openxmlformats-officedocument.spreadsheetml.comments+xml"/>
  <Override PartName="/xl/drawings/drawing7.xml" ContentType="application/vnd.openxmlformats-officedocument.drawing+xml"/>
  <Override PartName="/xl/comments24.xml" ContentType="application/vnd.openxmlformats-officedocument.spreadsheetml.comments+xml"/>
  <Override PartName="/xl/drawings/drawing8.xml" ContentType="application/vnd.openxmlformats-officedocument.drawing+xml"/>
  <Override PartName="/xl/comments25.xml" ContentType="application/vnd.openxmlformats-officedocument.spreadsheetml.comments+xml"/>
  <Override PartName="/xl/drawings/drawing9.xml" ContentType="application/vnd.openxmlformats-officedocument.drawing+xml"/>
  <Override PartName="/xl/comments26.xml" ContentType="application/vnd.openxmlformats-officedocument.spreadsheetml.comments+xml"/>
  <Override PartName="/xl/drawings/drawing10.xml" ContentType="application/vnd.openxmlformats-officedocument.drawing+xml"/>
  <Override PartName="/xl/comments27.xml" ContentType="application/vnd.openxmlformats-officedocument.spreadsheetml.comments+xml"/>
  <Override PartName="/xl/drawings/drawing11.xml" ContentType="application/vnd.openxmlformats-officedocument.drawing+xml"/>
  <Override PartName="/xl/comments28.xml" ContentType="application/vnd.openxmlformats-officedocument.spreadsheetml.comments+xml"/>
  <Override PartName="/xl/drawings/drawing12.xml" ContentType="application/vnd.openxmlformats-officedocument.drawing+xml"/>
  <Override PartName="/xl/comments29.xml" ContentType="application/vnd.openxmlformats-officedocument.spreadsheetml.comments+xml"/>
  <Override PartName="/xl/drawings/drawing13.xml" ContentType="application/vnd.openxmlformats-officedocument.drawing+xml"/>
  <Override PartName="/xl/comments30.xml" ContentType="application/vnd.openxmlformats-officedocument.spreadsheetml.comments+xml"/>
  <Override PartName="/xl/drawings/drawing14.xml" ContentType="application/vnd.openxmlformats-officedocument.drawing+xml"/>
  <Override PartName="/xl/comments31.xml" ContentType="application/vnd.openxmlformats-officedocument.spreadsheetml.comments+xml"/>
  <Override PartName="/xl/drawings/drawing15.xml" ContentType="application/vnd.openxmlformats-officedocument.drawing+xml"/>
  <Override PartName="/xl/comments32.xml" ContentType="application/vnd.openxmlformats-officedocument.spreadsheetml.comments+xml"/>
  <Override PartName="/xl/drawings/drawing16.xml" ContentType="application/vnd.openxmlformats-officedocument.drawing+xml"/>
  <Override PartName="/xl/comments33.xml" ContentType="application/vnd.openxmlformats-officedocument.spreadsheetml.comments+xml"/>
  <Override PartName="/xl/drawings/drawing17.xml" ContentType="application/vnd.openxmlformats-officedocument.drawing+xml"/>
  <Override PartName="/xl/comments34.xml" ContentType="application/vnd.openxmlformats-officedocument.spreadsheetml.comments+xml"/>
  <Override PartName="/xl/drawings/drawing18.xml" ContentType="application/vnd.openxmlformats-officedocument.drawing+xml"/>
  <Override PartName="/xl/comments3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Y:\공용 드라이브\설비운영팀 (신규)\0. 설비운영팀 일일업무현황(일지)_공통\2026년 일일업무현황(일지)\"/>
    </mc:Choice>
  </mc:AlternateContent>
  <bookViews>
    <workbookView xWindow="5145" yWindow="-120" windowWidth="29040" windowHeight="15840" tabRatio="929" firstSheet="10" activeTab="25"/>
  </bookViews>
  <sheets>
    <sheet name="팀업무분장 상세(24.12.16)" sheetId="74" state="hidden" r:id="rId1"/>
    <sheet name="팀업무분장(25.09.01)" sheetId="75" state="hidden" r:id="rId2"/>
    <sheet name="팀업무분장 보고용(25.09.01)" sheetId="35" state="hidden" r:id="rId3"/>
    <sheet name="운전_업무분장(7)_old" sheetId="71" state="hidden" r:id="rId4"/>
    <sheet name="팀업무분장(26.01.15)" sheetId="76" r:id="rId5"/>
    <sheet name="주요Issue" sheetId="33" r:id="rId6"/>
    <sheet name="설비운영팀 26년 월별업무" sheetId="77" r:id="rId7"/>
    <sheet name="설비 정기점검&amp;교체운전" sheetId="78" r:id="rId8"/>
    <sheet name="01" sheetId="37" r:id="rId9"/>
    <sheet name="02" sheetId="40" r:id="rId10"/>
    <sheet name="03" sheetId="41" r:id="rId11"/>
    <sheet name="04" sheetId="42" r:id="rId12"/>
    <sheet name="05" sheetId="47" r:id="rId13"/>
    <sheet name="06" sheetId="43" r:id="rId14"/>
    <sheet name="07" sheetId="44" r:id="rId15"/>
    <sheet name="08" sheetId="45" r:id="rId16"/>
    <sheet name="09" sheetId="46" r:id="rId17"/>
    <sheet name="10" sheetId="48" r:id="rId18"/>
    <sheet name="11" sheetId="49" r:id="rId19"/>
    <sheet name="12" sheetId="50" r:id="rId20"/>
    <sheet name="13" sheetId="51" r:id="rId21"/>
    <sheet name="14" sheetId="52" r:id="rId22"/>
    <sheet name="15" sheetId="53" r:id="rId23"/>
    <sheet name="16" sheetId="54" r:id="rId24"/>
    <sheet name="17" sheetId="55" r:id="rId25"/>
    <sheet name="18" sheetId="56" r:id="rId26"/>
    <sheet name="19" sheetId="57" r:id="rId27"/>
    <sheet name="20" sheetId="58" r:id="rId28"/>
    <sheet name="21" sheetId="59" r:id="rId29"/>
    <sheet name="22" sheetId="60" r:id="rId30"/>
    <sheet name="23" sheetId="61" r:id="rId31"/>
    <sheet name="24" sheetId="62" r:id="rId32"/>
    <sheet name="25" sheetId="63" r:id="rId33"/>
    <sheet name="26" sheetId="64" r:id="rId34"/>
    <sheet name="27" sheetId="65" r:id="rId35"/>
    <sheet name="28" sheetId="67" r:id="rId36"/>
    <sheet name="29" sheetId="68" r:id="rId37"/>
    <sheet name="30" sheetId="69" r:id="rId38"/>
    <sheet name="31" sheetId="70" r:id="rId39"/>
  </sheets>
  <definedNames>
    <definedName name="_xlnm.Consolidate_Area" localSheetId="8">'01'!$B$1:$J$85</definedName>
    <definedName name="_xlnm.Consolidate_Area" localSheetId="9">'02'!$B$1:$J$90</definedName>
    <definedName name="_xlnm.Consolidate_Area" localSheetId="10">'03'!$B$1:$J$94</definedName>
    <definedName name="_xlnm.Consolidate_Area" localSheetId="11">'04'!$B$1:$J$82</definedName>
    <definedName name="_xlnm.Consolidate_Area" localSheetId="12">'05'!$B$1:$J$73</definedName>
    <definedName name="_xlnm.Consolidate_Area" localSheetId="13">'06'!$B$1:$J$73</definedName>
    <definedName name="_xlnm.Consolidate_Area" localSheetId="14">'07'!$B$1:$J$84</definedName>
    <definedName name="_xlnm.Consolidate_Area" localSheetId="15">'08'!$B$1:$J$92</definedName>
    <definedName name="_xlnm.Consolidate_Area" localSheetId="16">'09'!$B$1:$J$93</definedName>
    <definedName name="_xlnm.Consolidate_Area" localSheetId="17">'10'!$B$1:$J$96</definedName>
    <definedName name="_xlnm.Consolidate_Area" localSheetId="18">'11'!$B$1:$J$88</definedName>
    <definedName name="_xlnm.Consolidate_Area" localSheetId="19">'12'!$B$1:$J$76</definedName>
    <definedName name="_xlnm.Consolidate_Area" localSheetId="20">'13'!$B$1:$J$73</definedName>
    <definedName name="_xlnm.Consolidate_Area" localSheetId="21">'14'!$B$1:$J$92</definedName>
    <definedName name="_xlnm.Consolidate_Area" localSheetId="22">'15'!$B$1:$J$87</definedName>
    <definedName name="_xlnm.Consolidate_Area" localSheetId="23">'16'!$B$1:$J$83</definedName>
    <definedName name="_xlnm.Consolidate_Area" localSheetId="24">'17'!$B$1:$J$86</definedName>
    <definedName name="_xlnm.Consolidate_Area" localSheetId="25">'18'!$B$1:$J$81</definedName>
    <definedName name="_xlnm.Consolidate_Area" localSheetId="26">'19'!$B$1:$J$73</definedName>
    <definedName name="_xlnm.Consolidate_Area" localSheetId="27">'20'!$B$1:$J$73</definedName>
    <definedName name="_xlnm.Consolidate_Area" localSheetId="28">'21'!$B$1:$J$77</definedName>
    <definedName name="_xlnm.Consolidate_Area" localSheetId="29">'22'!$B$1:$J$73</definedName>
    <definedName name="_xlnm.Consolidate_Area" localSheetId="30">'23'!$B$1:$J$73</definedName>
    <definedName name="_xlnm.Consolidate_Area" localSheetId="31">'24'!$B$1:$J$73</definedName>
    <definedName name="_xlnm.Consolidate_Area" localSheetId="32">'25'!$B$1:$J$73</definedName>
    <definedName name="_xlnm.Consolidate_Area" localSheetId="33">'26'!$B$1:$J$73</definedName>
    <definedName name="_xlnm.Consolidate_Area" localSheetId="34">'27'!$B$1:$J$73</definedName>
    <definedName name="_xlnm.Consolidate_Area" localSheetId="35">'28'!$B$1:$J$73</definedName>
    <definedName name="_xlnm.Consolidate_Area" localSheetId="36">'29'!$B$1:$J$73</definedName>
    <definedName name="_xlnm.Consolidate_Area" localSheetId="37">'30'!$B$1:$J$73</definedName>
    <definedName name="_xlnm.Consolidate_Area" localSheetId="38">'31'!$B$1:$J$73</definedName>
    <definedName name="_xlnm.Print_Area" localSheetId="8">'01'!$A$1:$K$73</definedName>
    <definedName name="_xlnm.Print_Area" localSheetId="9">'02'!$A$1:$K$78</definedName>
    <definedName name="_xlnm.Print_Area" localSheetId="10">'03'!$A$1:$K$82</definedName>
    <definedName name="_xlnm.Print_Area" localSheetId="11">'04'!$A$1:$K$70</definedName>
    <definedName name="_xlnm.Print_Area" localSheetId="12">'05'!$A$1:$K$61</definedName>
    <definedName name="_xlnm.Print_Area" localSheetId="13">'06'!$A$1:$K$61</definedName>
    <definedName name="_xlnm.Print_Area" localSheetId="14">'07'!$A$1:$K$72</definedName>
    <definedName name="_xlnm.Print_Area" localSheetId="15">'08'!$A$1:$K$80</definedName>
    <definedName name="_xlnm.Print_Area" localSheetId="16">'09'!$A$1:$K$81</definedName>
    <definedName name="_xlnm.Print_Area" localSheetId="17">'10'!$A$1:$K$84</definedName>
    <definedName name="_xlnm.Print_Area" localSheetId="18">'11'!$A$1:$K$76</definedName>
    <definedName name="_xlnm.Print_Area" localSheetId="19">'12'!$A$1:$K$64</definedName>
    <definedName name="_xlnm.Print_Area" localSheetId="20">'13'!$A$1:$K$61</definedName>
    <definedName name="_xlnm.Print_Area" localSheetId="21">'14'!$A$1:$K$80</definedName>
    <definedName name="_xlnm.Print_Area" localSheetId="22">'15'!$A$1:$K$75</definedName>
    <definedName name="_xlnm.Print_Area" localSheetId="23">'16'!$A$1:$K$71</definedName>
    <definedName name="_xlnm.Print_Area" localSheetId="24">'17'!$A$1:$K$74</definedName>
    <definedName name="_xlnm.Print_Area" localSheetId="25">'18'!$A$1:$K$69</definedName>
    <definedName name="_xlnm.Print_Area" localSheetId="26">'19'!$A$1:$K$61</definedName>
    <definedName name="_xlnm.Print_Area" localSheetId="27">'20'!$A$1:$K$61</definedName>
    <definedName name="_xlnm.Print_Area" localSheetId="28">'21'!$A$1:$K$65</definedName>
    <definedName name="_xlnm.Print_Area" localSheetId="29">'22'!$A$1:$K$61</definedName>
    <definedName name="_xlnm.Print_Area" localSheetId="30">'23'!$A$1:$K$61</definedName>
    <definedName name="_xlnm.Print_Area" localSheetId="31">'24'!$A$1:$K$61</definedName>
    <definedName name="_xlnm.Print_Area" localSheetId="32">'25'!$A$1:$K$61</definedName>
    <definedName name="_xlnm.Print_Area" localSheetId="33">'26'!$A$1:$K$61</definedName>
    <definedName name="_xlnm.Print_Area" localSheetId="34">'27'!$A$1:$K$61</definedName>
    <definedName name="_xlnm.Print_Area" localSheetId="35">'28'!$A$1:$K$61</definedName>
    <definedName name="_xlnm.Print_Area" localSheetId="36">'29'!$A$1:$K$61</definedName>
    <definedName name="_xlnm.Print_Area" localSheetId="37">'30'!$A$1:$K$61</definedName>
    <definedName name="_xlnm.Print_Area" localSheetId="38">'31'!$A$1:$K$61</definedName>
    <definedName name="_xlnm.Print_Area" localSheetId="3">'운전_업무분장(7)_old'!$A$1:$E$14</definedName>
    <definedName name="_xlnm.Print_Area" localSheetId="2">'팀업무분장 보고용(25.09.01)'!$A$1:$H$62</definedName>
    <definedName name="_xlnm.Print_Area" localSheetId="0">'팀업무분장 상세(24.12.16)'!$A$1:$I$117</definedName>
    <definedName name="_xlnm.Print_Area" localSheetId="1">'팀업무분장(25.09.01)'!$A$1:$H$63</definedName>
    <definedName name="_xlnm.Print_Area" localSheetId="4">'팀업무분장(26.01.15)'!$A$1:$G$66</definedName>
    <definedName name="_xlnm.Print_Titles" localSheetId="2">'팀업무분장 보고용(25.09.01)'!$1:$6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8" i="55" l="1"/>
  <c r="C47" i="70" l="1"/>
  <c r="C40" i="70"/>
  <c r="C47" i="69"/>
  <c r="C40" i="69"/>
  <c r="C47" i="68"/>
  <c r="C40" i="68"/>
  <c r="C47" i="67"/>
  <c r="C40" i="67"/>
  <c r="C47" i="65"/>
  <c r="C40" i="65"/>
  <c r="C47" i="64"/>
  <c r="C40" i="64"/>
  <c r="C47" i="63"/>
  <c r="C40" i="63"/>
  <c r="C47" i="62"/>
  <c r="C40" i="62"/>
  <c r="C47" i="61"/>
  <c r="C40" i="61"/>
  <c r="C47" i="60"/>
  <c r="C40" i="60"/>
  <c r="C51" i="59"/>
  <c r="C44" i="59"/>
  <c r="C47" i="58"/>
  <c r="C40" i="58"/>
  <c r="C47" i="57"/>
  <c r="C40" i="57"/>
  <c r="C55" i="56"/>
  <c r="C47" i="56"/>
  <c r="C60" i="55"/>
  <c r="C57" i="54"/>
  <c r="C43" i="54"/>
  <c r="C61" i="53"/>
  <c r="C47" i="53"/>
  <c r="C65" i="52"/>
  <c r="C47" i="52"/>
  <c r="C48" i="51"/>
  <c r="C40" i="51"/>
  <c r="C50" i="50"/>
  <c r="C40" i="50"/>
  <c r="C58" i="49"/>
  <c r="C44" i="49"/>
  <c r="C70" i="48"/>
  <c r="C56" i="48"/>
  <c r="C62" i="46"/>
  <c r="C47" i="46"/>
  <c r="C63" i="45"/>
  <c r="C47" i="45"/>
  <c r="C58" i="44"/>
  <c r="C40" i="44"/>
  <c r="C47" i="43"/>
  <c r="C40" i="43"/>
  <c r="C47" i="47"/>
  <c r="C40" i="47"/>
  <c r="C56" i="42"/>
  <c r="C44" i="42"/>
  <c r="C68" i="41"/>
  <c r="C57" i="41"/>
  <c r="C59" i="37"/>
  <c r="C46" i="37"/>
  <c r="C64" i="40" l="1"/>
  <c r="C51" i="40"/>
  <c r="B3" i="40" l="1"/>
  <c r="B3" i="41" s="1"/>
  <c r="B3" i="42" s="1"/>
  <c r="B3" i="47" s="1"/>
  <c r="B3" i="43" s="1"/>
  <c r="B3" i="44" s="1"/>
  <c r="B3" i="45" s="1"/>
  <c r="B3" i="46" s="1"/>
  <c r="B3" i="48" s="1"/>
  <c r="B3" i="49" s="1"/>
  <c r="B3" i="50" s="1"/>
  <c r="B3" i="51" s="1"/>
  <c r="B3" i="52" s="1"/>
  <c r="B3" i="53" s="1"/>
  <c r="B3" i="54" s="1"/>
  <c r="B3" i="55" s="1"/>
  <c r="B3" i="56" s="1"/>
  <c r="B3" i="57" s="1"/>
  <c r="B3" i="58" s="1"/>
  <c r="B3" i="59" s="1"/>
  <c r="B3" i="60" s="1"/>
  <c r="B3" i="61" s="1"/>
  <c r="B3" i="62" s="1"/>
  <c r="B3" i="63" s="1"/>
  <c r="B3" i="64" s="1"/>
  <c r="B3" i="65" s="1"/>
  <c r="B3" i="67" s="1"/>
  <c r="B3" i="68" s="1"/>
  <c r="B3" i="69" s="1"/>
  <c r="B3" i="70" s="1"/>
</calcChain>
</file>

<file path=xl/comments1.xml><?xml version="1.0" encoding="utf-8"?>
<comments xmlns="http://schemas.openxmlformats.org/spreadsheetml/2006/main">
  <authors>
    <author>GSPOGE</author>
  </authors>
  <commentList>
    <comment ref="F16" authorId="0" shapeId="0">
      <text>
        <r>
          <rPr>
            <sz val="11"/>
            <color indexed="81"/>
            <rFont val="Tahoma"/>
            <family val="2"/>
          </rPr>
          <t>'25.2.20(</t>
        </r>
        <r>
          <rPr>
            <sz val="11"/>
            <color indexed="81"/>
            <rFont val="돋움"/>
            <family val="3"/>
            <charset val="129"/>
          </rPr>
          <t>목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대표님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지시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>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공진철차장</t>
        </r>
      </text>
    </comment>
  </commentList>
</comments>
</file>

<file path=xl/comments2.xml><?xml version="1.0" encoding="utf-8"?>
<comments xmlns="http://schemas.openxmlformats.org/spreadsheetml/2006/main">
  <authors>
    <author>GSPOGE</author>
  </authors>
  <commentList>
    <comment ref="F23" authorId="0" shapeId="0">
      <text>
        <r>
          <rPr>
            <sz val="11"/>
            <color indexed="81"/>
            <rFont val="Tahoma"/>
            <family val="2"/>
          </rPr>
          <t>'25.2.20(</t>
        </r>
        <r>
          <rPr>
            <sz val="11"/>
            <color indexed="81"/>
            <rFont val="돋움"/>
            <family val="3"/>
            <charset val="129"/>
          </rPr>
          <t>목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대표님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지시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>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공진철차장</t>
        </r>
      </text>
    </comment>
  </commentList>
</comments>
</file>

<file path=xl/comments3.xml><?xml version="1.0" encoding="utf-8"?>
<comments xmlns="http://schemas.openxmlformats.org/spreadsheetml/2006/main">
  <authors>
    <author>GSPOGE</author>
  </authors>
  <commentList>
    <comment ref="E23" authorId="0" shapeId="0">
      <text>
        <r>
          <rPr>
            <sz val="11"/>
            <color indexed="81"/>
            <rFont val="Tahoma"/>
            <family val="2"/>
          </rPr>
          <t>'25.2.20(</t>
        </r>
        <r>
          <rPr>
            <sz val="11"/>
            <color indexed="81"/>
            <rFont val="돋움"/>
            <family val="3"/>
            <charset val="129"/>
          </rPr>
          <t>목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대표님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지시</t>
        </r>
        <r>
          <rPr>
            <sz val="11"/>
            <color indexed="81"/>
            <rFont val="Tahoma"/>
            <family val="2"/>
          </rPr>
          <t xml:space="preserve"> : </t>
        </r>
        <r>
          <rPr>
            <sz val="11"/>
            <color indexed="81"/>
            <rFont val="돋움"/>
            <family val="3"/>
            <charset val="129"/>
          </rPr>
          <t>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및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공진철차장</t>
        </r>
      </text>
    </comment>
  </commentList>
</comments>
</file>

<file path=xl/comments4.xml><?xml version="1.0" encoding="utf-8"?>
<comments xmlns="http://schemas.openxmlformats.org/spreadsheetml/2006/main">
  <authors>
    <author>GSPOGE</author>
  </authors>
  <commentList>
    <comment ref="G19" authorId="0" shapeId="0">
      <text>
        <r>
          <rPr>
            <sz val="8"/>
            <color indexed="81"/>
            <rFont val="맑은 고딕"/>
            <family val="3"/>
            <charset val="129"/>
            <scheme val="minor"/>
          </rPr>
          <t>'26.4월 고압가스 선임자 안전팀 최부식 과장으로 변경(기존 형준영)</t>
        </r>
      </text>
    </comment>
    <comment ref="J28" authorId="0" shapeId="0">
      <text>
        <r>
          <rPr>
            <sz val="9"/>
            <color indexed="81"/>
            <rFont val="Tahoma"/>
            <family val="2"/>
          </rPr>
          <t>'25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>,11</t>
        </r>
        <r>
          <rPr>
            <sz val="9"/>
            <color indexed="81"/>
            <rFont val="돋움"/>
            <family val="3"/>
            <charset val="129"/>
          </rPr>
          <t>월</t>
        </r>
      </text>
    </comment>
  </commentList>
</comments>
</file>

<file path=xl/comments5.xml><?xml version="1.0" encoding="utf-8"?>
<comments xmlns="http://schemas.openxmlformats.org/spreadsheetml/2006/main">
  <authors>
    <author>GSPOGE</author>
  </authors>
  <commentList>
    <comment ref="C45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58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6.xml><?xml version="1.0" encoding="utf-8"?>
<comments xmlns="http://schemas.openxmlformats.org/spreadsheetml/2006/main">
  <authors>
    <author>GSPOGE</author>
  </authors>
  <commentList>
    <comment ref="C50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63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7.xml><?xml version="1.0" encoding="utf-8"?>
<comments xmlns="http://schemas.openxmlformats.org/spreadsheetml/2006/main">
  <authors>
    <author>GSPOGE</author>
  </authors>
  <commentList>
    <comment ref="C5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67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8.xml><?xml version="1.0" encoding="utf-8"?>
<comments xmlns="http://schemas.openxmlformats.org/spreadsheetml/2006/main">
  <authors>
    <author>GSPOGE</author>
  </authors>
  <commentList>
    <comment ref="C43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55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9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0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1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57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2.xml><?xml version="1.0" encoding="utf-8"?>
<comments xmlns="http://schemas.openxmlformats.org/spreadsheetml/2006/main">
  <authors>
    <author>GSPOGE</author>
  </authors>
  <commentLis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62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3.xml><?xml version="1.0" encoding="utf-8"?>
<comments xmlns="http://schemas.openxmlformats.org/spreadsheetml/2006/main">
  <authors>
    <author>GSPOGE</author>
  </authors>
  <commentLis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61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4.xml><?xml version="1.0" encoding="utf-8"?>
<comments xmlns="http://schemas.openxmlformats.org/spreadsheetml/2006/main">
  <authors>
    <author>GSPOGE</author>
  </authors>
  <commentList>
    <comment ref="C55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6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5.xml><?xml version="1.0" encoding="utf-8"?>
<comments xmlns="http://schemas.openxmlformats.org/spreadsheetml/2006/main">
  <authors>
    <author>GSPOGE</author>
  </authors>
  <commentList>
    <comment ref="C43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57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6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7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7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8.xml><?xml version="1.0" encoding="utf-8"?>
<comments xmlns="http://schemas.openxmlformats.org/spreadsheetml/2006/main">
  <authors>
    <author>GSPOGE</author>
  </authors>
  <commentLis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64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19.xml><?xml version="1.0" encoding="utf-8"?>
<comments xmlns="http://schemas.openxmlformats.org/spreadsheetml/2006/main">
  <authors>
    <author>GSPOGE</author>
  </authors>
  <commentLis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60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0.xml><?xml version="1.0" encoding="utf-8"?>
<comments xmlns="http://schemas.openxmlformats.org/spreadsheetml/2006/main">
  <authors>
    <author>GSPOGE</author>
  </authors>
  <commentList>
    <comment ref="C42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5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1.xml><?xml version="1.0" encoding="utf-8"?>
<comments xmlns="http://schemas.openxmlformats.org/spreadsheetml/2006/main">
  <authors>
    <author>GSPOGE</author>
  </authors>
  <commentList>
    <comment ref="C47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5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2.xml><?xml version="1.0" encoding="utf-8"?>
<comments xmlns="http://schemas.openxmlformats.org/spreadsheetml/2006/main">
  <authors>
    <author>GSPOGE</author>
  </authors>
  <commentLis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54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3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4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5.xml><?xml version="1.0" encoding="utf-8"?>
<comments xmlns="http://schemas.openxmlformats.org/spreadsheetml/2006/main">
  <authors>
    <author>GSPOGE</author>
  </authors>
  <commentList>
    <comment ref="C43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50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6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7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8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29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30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31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32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33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34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comments35.xml><?xml version="1.0" encoding="utf-8"?>
<comments xmlns="http://schemas.openxmlformats.org/spreadsheetml/2006/main">
  <authors>
    <author>GSPOGE</author>
  </authors>
  <commentList>
    <comment ref="C39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  <comment ref="C46" authorId="0" shapeId="0">
      <text>
        <r>
          <rPr>
            <b/>
            <sz val="10"/>
            <color indexed="81"/>
            <rFont val="돋움"/>
            <family val="3"/>
            <charset val="129"/>
          </rPr>
          <t>실제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근무한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파트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</t>
        </r>
      </text>
    </comment>
  </commentList>
</comments>
</file>

<file path=xl/sharedStrings.xml><?xml version="1.0" encoding="utf-8"?>
<sst xmlns="http://schemas.openxmlformats.org/spreadsheetml/2006/main" count="2949" uniqueCount="1538">
  <si>
    <t>구분</t>
  </si>
  <si>
    <t>2. 주요 업무 현황</t>
    <phoneticPr fontId="1" type="noConversion"/>
  </si>
  <si>
    <t>효
율
파
트</t>
    <phoneticPr fontId="12" type="noConversion"/>
  </si>
  <si>
    <t>Day 근무조</t>
    <phoneticPr fontId="1" type="noConversion"/>
  </si>
  <si>
    <t>비 고</t>
    <phoneticPr fontId="1" type="noConversion"/>
  </si>
  <si>
    <t>주요 업무(업무내용, Event, Issue사항 등)</t>
    <phoneticPr fontId="1" type="noConversion"/>
  </si>
  <si>
    <t xml:space="preserve">설비운영팀 일일 업무 현황 </t>
    <phoneticPr fontId="12" type="noConversion"/>
  </si>
  <si>
    <r>
      <t>3. 기타사항</t>
    </r>
    <r>
      <rPr>
        <sz val="10"/>
        <color theme="1"/>
        <rFont val="맑은 고딕"/>
        <family val="3"/>
        <charset val="129"/>
        <scheme val="minor"/>
      </rPr>
      <t xml:space="preserve"> : 근태사항(사용일자 Sheet에 휴가자 및 대근자 명기), 협의 또는 요청사항 등등(작성자 또는 파트 명기)</t>
    </r>
    <phoneticPr fontId="1" type="noConversion"/>
  </si>
  <si>
    <t>Night 근무조</t>
    <phoneticPr fontId="1" type="noConversion"/>
  </si>
  <si>
    <t>일일발전 운전현황작성</t>
    <phoneticPr fontId="1" type="noConversion"/>
  </si>
  <si>
    <t xml:space="preserve"> □ 효율파트 업무일지 및 운전파트 주요사항</t>
    <phoneticPr fontId="1" type="noConversion"/>
  </si>
  <si>
    <r>
      <t>업무</t>
    </r>
    <r>
      <rPr>
        <b/>
        <sz val="10"/>
        <color rgb="FF000000"/>
        <rFont val="맑은 고딕"/>
        <family val="3"/>
        <charset val="129"/>
      </rPr>
      <t>[정+부]</t>
    </r>
    <phoneticPr fontId="1" type="noConversion"/>
  </si>
  <si>
    <t>※ 1) 연료관리 : 자이E 업무일지 참고.  2) 운전파트 : 주요 Event, 파트별 주요 전달 및 공유사항 등 기록하고, 상세사항 업무일지에 기록.  3) 필요시 행추가 후 작성</t>
    <phoneticPr fontId="1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</si>
  <si>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</si>
  <si>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</si>
  <si>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</si>
  <si>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</si>
  <si>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</si>
  <si>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</si>
  <si>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</si>
  <si>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</si>
  <si>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</si>
  <si>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</si>
  <si>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</si>
  <si>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업 무 분 장 표 (운전파트)</t>
    <phoneticPr fontId="1" type="noConversion"/>
  </si>
  <si>
    <t>2022.02.14</t>
    <phoneticPr fontId="1" type="noConversion"/>
  </si>
  <si>
    <t>구분</t>
    <phoneticPr fontId="1" type="noConversion"/>
  </si>
  <si>
    <t>Position</t>
    <phoneticPr fontId="1" type="noConversion"/>
  </si>
  <si>
    <t>담당 업무내용</t>
    <phoneticPr fontId="1" type="noConversion"/>
  </si>
  <si>
    <t>비 고</t>
    <phoneticPr fontId="1" type="noConversion"/>
  </si>
  <si>
    <t>Part장</t>
    <phoneticPr fontId="1" type="noConversion"/>
  </si>
  <si>
    <t xml:space="preserve"> 1) 운전관리
    - 발전 운전 현황 및 일일 운전 현황 보고 
    - 환경, 수질, 소방설비, 유해 위험설비, 회전기기 등 발전 및 열생산 설비 운전 총괄
    - 열수요처 증기 공급상태 파악 및 안정적 증기공급 운전 조치
    - Trouble Report, 운전절차서 등 검토 및 확인 
    - 일근 시간외 사업장 전체 설비 운전 관리(수용가 민원, 외주용역 운전 등)
 2) 설비관리 및 안전관리
    - 파트원 운전, 순찰 및 점검 등 업무 관리, 설비 청결 상태 관리
    - T.M 및 B.M 즉각 대응 관리, 작업허가서 승인 및 작업 완료 관리
    - 정비작업 전후 설비 안전점검 현황 관리
    - 운전원 자체 정비 및 긴급 임시조치 작업, 정비원 돌발작업(BM)의 안전관리
 3) 비상상황 대응
    - 비상시 상황 보고 및 긴급 대응 조치
 4) 교육 훈련 및 파트원 관리
    - 통합 비상모의 훈련 및 월간 비상모의 훈련 주관
    - 파트원 직무교육 주관 및 상위 보직 인력 육성
    - 안전교육 및 설비사고 대응 훈련
    - 파트원 애로사항 및 건의사항 수렴(상담)</t>
    <phoneticPr fontId="1" type="noConversion"/>
  </si>
  <si>
    <t>TGO</t>
    <phoneticPr fontId="1" type="noConversion"/>
  </si>
  <si>
    <t xml:space="preserve"> 1) Turbine &amp; Generator설비 및 BOPp(HP, LP Bypass 등)설비 : 운전 및 기록관리
   - TBN &amp; Generator 출력 및 기록관리, BOP설비 기록관리 : Logging Data Sheet 작성
    - 회전기기 교체 운전(월간 및 긴급 교체운전)
    - 설비 이상 징후 Monitoring(T.M 및 B.M 발행, 수질관리)
    - 기동∙정지 운전관리(절차서 수정)
    - 계절별 BOP 대응 운전(Cooling Tower 및 회전기기 관리)
 2) 공정용 증기(HP 및 LP Process Steam) 공급 
    - 압력 및 온도 기록 관리
    - 비상 상황 발생시 공정 증기 안정 공급
 3) Aux. Boiler 운전 관리
    - 정지 시 만수보존 관리
    - Main BLR 및 TBN 정지 시 Aux. BLR 기동(기동 중 기록 관리)
 4) ECMS 설비운전
    - 차단기 원격 조작(전기팀 입회 및 사전 확인)
    - Alarm 및 Event 상시 확인
 5) Package System 및 HVAC 설비 운전
    - Plant Air Compressor 및 Sump Pump(TBN &amp; BOP Building) 운전 관리
    - 주제어동, 냉각수펌프동, 터빈동, 보조보일러동 HVAC System 관리
 6) 태양광 발전 Monitoring System
    - 운전 상태 점검 및 일/월 Data 적산 관리, Alarm 등의 특이사항 관리</t>
    <phoneticPr fontId="1" type="noConversion"/>
  </si>
  <si>
    <r>
      <t>1) Aux.BLR 운전은  모든 운전원이 기동∙정지 숙지
(총 관리는 TGO)
2) BOPp: 보일러분야를 제외한 발전계통의 BOP 설비(급</t>
    </r>
    <r>
      <rPr>
        <sz val="9"/>
        <rFont val="맑은 고딕"/>
        <family val="3"/>
        <charset val="129"/>
      </rPr>
      <t>∙</t>
    </r>
    <r>
      <rPr>
        <sz val="9"/>
        <rFont val="굴림"/>
        <family val="3"/>
        <charset val="129"/>
      </rPr>
      <t>복수 및 냉각수계통, Plant Air Comp., 전기실, SWGR, GIS, TR, 비상발전기, Service/Potable water설비 등)</t>
    </r>
    <phoneticPr fontId="1" type="noConversion"/>
  </si>
  <si>
    <t>BCO1</t>
    <phoneticPr fontId="1" type="noConversion"/>
  </si>
  <si>
    <t xml:space="preserve"> 1) No.1 CFBC Boiler &amp; BOPb, 정압기실, Fly Ash Silo 설비 : 운전 및 기록관리
    - 회전기기 교체운전 (교체운전 Check List 작성)
    - 계절별 대응운전 (Steam Coil Air Heater, PA,SA Inler Damper 조절)
    - Fuel(Coal&amp;Bio) Feeding System Trouble 대처 및 연료 혼소율 조정 운전
    - 보일러 기동 및 정지 운전관리, 운전 절차서 수정 및 보완
    - 부재료 사용량 관리
 2) 설비 예방관리 Monitoring 및 최적운전 관리, 고장 설비 TM 발행
    - Service GAS(N2) 설비(Check List, Log Sheet 작성) 포함
 3) TMS 환경 기준치 이내운전 관리(Sox, Nox, Dust)
 4) TBN/GEN 운전관리 지원(Aux' Boiler 가동시)
 5) 팀내 필요 교육 수행(파트별)
    - 비상모의훈련, PSM교육, 아차사고사례 교육, 자체직무교육 등
 6) TM 회의 자료 작성(일일발전운전현황) 및 일일 Boiler 적산 작성 (내부 보고용)</t>
    <phoneticPr fontId="1" type="noConversion"/>
  </si>
  <si>
    <t>1) BOPb: 보일러 부속설비(Blower류, 연료 및 부재료 계통, 배가스 환경설비 등)</t>
    <phoneticPr fontId="1" type="noConversion"/>
  </si>
  <si>
    <t>BCO2</t>
    <phoneticPr fontId="1" type="noConversion"/>
  </si>
  <si>
    <t xml:space="preserve"> 1) No.2 CFBC Boiler &amp; BOPb, Ash Air Comp. : 운전 및 기록관리
    - 회전기기 교체운전(교체운전 Check List 작성, Ash Comp. 교체운전 1회/일)
    - 계절별 대응운전 (Steam Coil Air Heater, PA,SA Inler Damper 조절)
    - Fuel(Coal&amp;Bio) Feeding System Trouble 대처 및 연료 혼소율 조정 운전
    - 보일러 기동 및 정지 운전관리, 운전 절차서 수정 및 보완
    - 부재료 사용량 관리
 2) 설비 예방관리 Monitoring 및 최적운전 관리, 고장 설비 TM 발행
 3) TMS 환경 기준치 이내운전 관리(SOx, NOx, Dust)
 4) 수처리 및 연료취급설비(외주용역) 운전 업무지원(운전 협조)
 5) 팀내 필요 교육 수행(파트별)
    - 안전교육(일지관리), 비상모의훈련, PSM교육, 아차사고사례 교육, 자체직무교육 등
 6) TM 회의 자료 작성(일일발전운전현황) 및 일일 Boiler 적산 작성 (내부 보고용)</t>
    <phoneticPr fontId="1" type="noConversion"/>
  </si>
  <si>
    <t>TO</t>
    <phoneticPr fontId="1" type="noConversion"/>
  </si>
  <si>
    <t xml:space="preserve"> 1) TBN &amp; BOP, Aux Boiler, BOPp : 현장운전, Log Sheet 기록 및 순찰 점검(소방 포함)
    - 설비 및 안전 위험사항 조기발굴 및 임시조치
 2) CFBC Boiler 정지시 열공급 위한 Aux. Boiler 운전 지원(TGO 지원)
 3) T.M 발행 및 보수 작업 관리(Tag관리 등)
 4) 설비별 각 월간점검, 주간점검 및 교체운전(현장) 관리
    - 소화기 점검(월간), TBN Hanger점검(월간), 비상발전기 점검(월간),NG사용량점검(월말)
 5) TBN 증기계통 및 소내 Process Steam Line 응축수 관리(Drain 및 Trap 관리)
 6) 설비 비상사고 현장 조치 및 사고원인 파악
 7) TBN동 현장 청결관리, 주제어동 지하 순찰(Sump운전 상태 및 Cable Room 확인)</t>
    <phoneticPr fontId="1" type="noConversion"/>
  </si>
  <si>
    <t>BO1
(1호기 Boiler)</t>
    <phoneticPr fontId="1" type="noConversion"/>
  </si>
  <si>
    <t xml:space="preserve"> 1) No.1 CFBC Boiler &amp; BOPb, 정압기실, Fly Ash Silo설비 : 현장운전, Log Sheet기록 및 순찰 점검(소방 포함)
    - 설비 및 안전 위험사항 조기발굴 및 임시조치
 2) T.M 발행 및 보수 작업 관리(Tag관리 등)
 3) 설비별 각 월간점검, 주간점검 및 교체운전(현장) 관리(설비 점검사항 및 작성 주기표 참조)
     - 소화기 점검(월간), 고압가스(CO2) 저정시설 점검(주간), 보일러 Hanger 점검(월간)
       Sootblower(주간), Coal Sampling(월1회), Fly Ash Sampling(주1회) 등
 4) 설비 비상사고 현장 조치 및 사고원인 파악
 5) 동절기, 해빙기, 우기시 현장 예방점검
 6) BLR동 현장 청결관리</t>
    <phoneticPr fontId="1" type="noConversion"/>
  </si>
  <si>
    <t>BO2
(2호기 Boiler)</t>
    <phoneticPr fontId="1" type="noConversion"/>
  </si>
  <si>
    <t xml:space="preserve"> 1) No.2 CFBC Boiler &amp; BOPb, Ash Comp. : 현장운전, Log Sheet기록 및 순찰 점검(소방 포함)
    - 설비 및 안전 위험사항 조기발굴 및 임시조치
 2) T.M 발행 및 보수 작업 관리(Tag관리 등)
 3) 설비별 각 월간점검, 주간점검 및 교체운전(현장) 관리(설비 점검사항 및 작성 주기표 참조)
    - 소화기 점검(월간), 고압가스(CO2) 저정시설 점검(주간), 보일러 Hanger 점검(월간)
       Sootblower(주간), Coal Sampling(월1회), Fly Ash Sampling(주1회) 등
 4) 설비 비상사고 현장 조치 및 사고원인 파악
 5) 동절기, 해빙기, 우기시 현장 예방점검
 6) BLR동 현장 청결관리</t>
    <phoneticPr fontId="1" type="noConversion"/>
  </si>
  <si>
    <t xml:space="preserve">※ 특기사항 : 1. 운전파트 지시사항, 설비운전중 비상상황 업무, 효율파트 역무 관련 운전파트 협조사항, 명시되지 않은 기타 역무 등은
                      각 파트장이 필요에 따라 파트원 역무 별도 지시하여 수행. 
                    2. Local 운전원(TO, BO1, BO2)는 업무 상황 및 안전을 고려하여 따라 상호 지원  또는 협업하여 업무 수행
 </t>
    <phoneticPr fontId="1" type="noConversion"/>
  </si>
  <si>
    <t>효율업무1</t>
    <phoneticPr fontId="1" type="noConversion"/>
  </si>
  <si>
    <t>효율업무2</t>
    <phoneticPr fontId="1" type="noConversion"/>
  </si>
  <si>
    <t>구매∙행정업무</t>
    <phoneticPr fontId="1" type="noConversion"/>
  </si>
  <si>
    <t>운
전
파
트</t>
    <phoneticPr fontId="1" type="noConversion"/>
  </si>
  <si>
    <t xml:space="preserve">  • 특수미화원 역무 관리</t>
    <phoneticPr fontId="42" type="noConversion"/>
  </si>
  <si>
    <t xml:space="preserve">  • 주간 운영실적(전력생산, 연료사용량 및 혼소율) 현황 관리(경영관리팀 공유)</t>
    <phoneticPr fontId="42" type="noConversion"/>
  </si>
  <si>
    <r>
      <t xml:space="preserve">  • </t>
    </r>
    <r>
      <rPr>
        <b/>
        <sz val="11"/>
        <rFont val="맑은 고딕"/>
        <family val="3"/>
        <charset val="129"/>
      </rPr>
      <t>배출권 거래제 관련 업무(w. 경영관리팀)</t>
    </r>
    <phoneticPr fontId="42" type="noConversion"/>
  </si>
  <si>
    <t>설비점검 현황 관리</t>
    <phoneticPr fontId="46" type="noConversion"/>
  </si>
  <si>
    <t xml:space="preserve">  • 팀내 예산(통제성) 실적 관리 및 회계전표 처리</t>
    <phoneticPr fontId="42" type="noConversion"/>
  </si>
  <si>
    <t>주설비 운전 및 관리,
긴급상황 비상조치</t>
    <phoneticPr fontId="46" type="noConversion"/>
  </si>
  <si>
    <t xml:space="preserve">  • 발전 운전현황 관리</t>
    <phoneticPr fontId="46" type="noConversion"/>
  </si>
  <si>
    <t xml:space="preserve">  • 비상상황 대응(비상시 상황 보고 및 긴급 대응 조치)</t>
    <phoneticPr fontId="46" type="noConversion"/>
  </si>
  <si>
    <t>부서명</t>
    <phoneticPr fontId="42" type="noConversion"/>
  </si>
  <si>
    <t>주요업무</t>
    <phoneticPr fontId="46" type="noConversion"/>
  </si>
  <si>
    <t xml:space="preserve">  • 운영본부 임원 회의자료 작성(경영계획, 분기실적자료, 자회사회의자료)</t>
    <phoneticPr fontId="42" type="noConversion"/>
  </si>
  <si>
    <t xml:space="preserve">  • 설비 고장정지 원인 분석 및 Trouble History 관리</t>
    <phoneticPr fontId="42" type="noConversion"/>
  </si>
  <si>
    <t xml:space="preserve">  • 안전보건 교육(매월) 일지 관리, 아차사고 발굴 보고서 및 교육 관리</t>
    <phoneticPr fontId="42" type="noConversion"/>
  </si>
  <si>
    <t xml:space="preserve">  • 소내설비 안전운전 위한 설비 점검, 합동안전점검 결과 조치사항 관리</t>
    <phoneticPr fontId="42" type="noConversion"/>
  </si>
  <si>
    <t>효율업무 총괄</t>
    <phoneticPr fontId="1" type="noConversion"/>
  </si>
  <si>
    <t>[송관석]</t>
    <phoneticPr fontId="1" type="noConversion"/>
  </si>
  <si>
    <t>보조 : 예비인력1</t>
    <phoneticPr fontId="46" type="noConversion"/>
  </si>
  <si>
    <t>보조 : 예비인력2</t>
    <phoneticPr fontId="46" type="noConversion"/>
  </si>
  <si>
    <t>설비운전</t>
    <phoneticPr fontId="46" type="noConversion"/>
  </si>
  <si>
    <t>TGO
(이성진과장,
 박문수과장,
 김형준과장,
 이규현과장)</t>
    <phoneticPr fontId="46" type="noConversion"/>
  </si>
  <si>
    <t>터빈/발전기 및
보조보일러 운전
(제어실운전원)</t>
    <phoneticPr fontId="46" type="noConversion"/>
  </si>
  <si>
    <t xml:space="preserve">  • BOP 설비(급∙복수 및 냉각수계통, Plant Air Comp., Service/Raw water설비 등) 운전</t>
    <phoneticPr fontId="46" type="noConversion"/>
  </si>
  <si>
    <t xml:space="preserve">  • Aux. Boiler 운전 및 보전 관리(제어실, Aux' Boiler 가동시)</t>
    <phoneticPr fontId="46" type="noConversion"/>
  </si>
  <si>
    <t xml:space="preserve">  • 운전설비 교체운전, 설비상태 관리 및 TM발행 등, 운전절차서 검토</t>
    <phoneticPr fontId="46" type="noConversion"/>
  </si>
  <si>
    <t xml:space="preserve">  • 태양광 발전설비 상태 점검 및 운전 업무지원</t>
    <phoneticPr fontId="46" type="noConversion"/>
  </si>
  <si>
    <t xml:space="preserve">  • BOP 설비(Blower 및 Fan류, 연료공급 및 부재료 계통, 회처리, 배가스 환경설비 등) 운전</t>
    <phoneticPr fontId="46" type="noConversion"/>
  </si>
  <si>
    <t xml:space="preserve">  • 혼소율 관리 및 최적 연소 운전, 부재료 사용량 관리</t>
    <phoneticPr fontId="46" type="noConversion"/>
  </si>
  <si>
    <t xml:space="preserve">  • TM 회의 자료 작성(일일발전운전현황)</t>
    <phoneticPr fontId="46" type="noConversion"/>
  </si>
  <si>
    <t xml:space="preserve">  • TBN/GEN 운전관리 지원(Aux' Boiler 가동시)</t>
    <phoneticPr fontId="46" type="noConversion"/>
  </si>
  <si>
    <r>
      <t xml:space="preserve">  • 설비별 월간</t>
    </r>
    <r>
      <rPr>
        <b/>
        <sz val="11"/>
        <rFont val="맑은 고딕"/>
        <family val="3"/>
        <charset val="129"/>
      </rPr>
      <t>·</t>
    </r>
    <r>
      <rPr>
        <b/>
        <sz val="11"/>
        <rFont val="맑은 고딕"/>
        <family val="3"/>
        <charset val="129"/>
        <scheme val="minor"/>
      </rPr>
      <t xml:space="preserve">주간·일일점검 및 교체운전(현장) 관리, TBN분야 설비점검, Log Sheet 작성 </t>
    </r>
    <phoneticPr fontId="46" type="noConversion"/>
  </si>
  <si>
    <t xml:space="preserve">  • 설비 청결, 고장 및 비상사고 현장 조치, 사고원인 파악</t>
    <phoneticPr fontId="46" type="noConversion"/>
  </si>
  <si>
    <t>BO1
(변정률주임,
 고병준주임,
 김태임주임,
 이용수주임)</t>
    <phoneticPr fontId="46" type="noConversion"/>
  </si>
  <si>
    <t>2호기 보일러 현장운전
및 점검(현장운전원)</t>
    <phoneticPr fontId="1" type="noConversion"/>
  </si>
  <si>
    <t xml:space="preserve">  • TBN &amp; Generator 출력 및 공정용증기(HP &amp; LP) 공급 관리</t>
    <phoneticPr fontId="46" type="noConversion"/>
  </si>
  <si>
    <t xml:space="preserve">  • 일일 Boiler 운전 적산자료 작성</t>
    <phoneticPr fontId="46" type="noConversion"/>
  </si>
  <si>
    <r>
      <t>1. 주요 전달 및 지시사항(TM회의 등등 Issue사항)</t>
    </r>
    <r>
      <rPr>
        <sz val="11"/>
        <color theme="1"/>
        <rFont val="맑은 고딕"/>
        <family val="3"/>
        <charset val="129"/>
        <scheme val="minor"/>
      </rPr>
      <t xml:space="preserve"> : 팀장(</t>
    </r>
    <r>
      <rPr>
        <sz val="11"/>
        <color theme="1"/>
        <rFont val="맑은 고딕"/>
        <family val="3"/>
        <charset val="129"/>
      </rPr>
      <t>◎대표님, ○부문장님, -팀장, *기타 지시사항)</t>
    </r>
    <phoneticPr fontId="1" type="noConversion"/>
  </si>
  <si>
    <t>- 월간(전월) 운영실적 보고</t>
  </si>
  <si>
    <t>설비
운전,
점검
(운전)</t>
    <phoneticPr fontId="1" type="noConversion"/>
  </si>
  <si>
    <t>- Demi. Pump Room 하부천막 해체</t>
    <phoneticPr fontId="1" type="noConversion"/>
  </si>
  <si>
    <t>GS포천그린에너지 설비운영팀 업무분장 (상세)</t>
    <phoneticPr fontId="46" type="noConversion"/>
  </si>
  <si>
    <r>
      <t>r</t>
    </r>
    <r>
      <rPr>
        <b/>
        <sz val="12"/>
        <rFont val="맑은 고딕"/>
        <family val="3"/>
        <charset val="129"/>
        <scheme val="minor"/>
      </rPr>
      <t xml:space="preserve"> 인력구성 : 팀장 외 31명(부장 2, 차장 4, 과장 9, 대리 8, 주임 9)</t>
    </r>
    <phoneticPr fontId="46" type="noConversion"/>
  </si>
  <si>
    <r>
      <t>r</t>
    </r>
    <r>
      <rPr>
        <b/>
        <sz val="12"/>
        <rFont val="맑은 고딕"/>
        <family val="3"/>
        <charset val="129"/>
        <scheme val="minor"/>
      </rPr>
      <t xml:space="preserve"> 주요업무 : 설비운영 및 발전효율 관리</t>
    </r>
    <phoneticPr fontId="46" type="noConversion"/>
  </si>
  <si>
    <t>(설비운영팀, 2024.12.16기준)</t>
    <phoneticPr fontId="46" type="noConversion"/>
  </si>
  <si>
    <t>담당자</t>
    <phoneticPr fontId="46" type="noConversion"/>
  </si>
  <si>
    <t>업무분야</t>
    <phoneticPr fontId="46" type="noConversion"/>
  </si>
  <si>
    <t>업무 세부내역</t>
    <phoneticPr fontId="42" type="noConversion"/>
  </si>
  <si>
    <t>부 담당자</t>
    <phoneticPr fontId="42" type="noConversion"/>
  </si>
  <si>
    <t>비   고</t>
    <phoneticPr fontId="1" type="noConversion"/>
  </si>
  <si>
    <t>운영본부</t>
    <phoneticPr fontId="46" type="noConversion"/>
  </si>
  <si>
    <t>설비운영팀</t>
    <phoneticPr fontId="46" type="noConversion"/>
  </si>
  <si>
    <t>공진철 차장</t>
    <phoneticPr fontId="46" type="noConversion"/>
  </si>
  <si>
    <t>효율업무 총괄
(목표관리 및 원부재료, 용역사 관리)</t>
    <phoneticPr fontId="46" type="noConversion"/>
  </si>
  <si>
    <t>효율파트 업무 총괄</t>
    <phoneticPr fontId="42" type="noConversion"/>
  </si>
  <si>
    <t xml:space="preserve">  • 효율파트 업무 총괄 현황관리 및 점검(운영현황 및 실적, 안전, 교육 등)</t>
    <phoneticPr fontId="42" type="noConversion"/>
  </si>
  <si>
    <t>김형권 과장</t>
    <phoneticPr fontId="46" type="noConversion"/>
  </si>
  <si>
    <t>운영목표 관리</t>
    <phoneticPr fontId="42" type="noConversion"/>
  </si>
  <si>
    <t xml:space="preserve">  • 팀내 주요 성과목표(KPI) 계획수립 및 실적관리</t>
    <phoneticPr fontId="46" type="noConversion"/>
  </si>
  <si>
    <t xml:space="preserve">  • 년간운전계획 및 실적, 예산계획 수립</t>
    <phoneticPr fontId="42" type="noConversion"/>
  </si>
  <si>
    <t xml:space="preserve">  • 통합경영시스템 실적관리</t>
    <phoneticPr fontId="42" type="noConversion"/>
  </si>
  <si>
    <t>원부재료 운영 관리</t>
    <phoneticPr fontId="46" type="noConversion"/>
  </si>
  <si>
    <t xml:space="preserve">  • 유연탄 항차 탄종 연소성(사용 적정성) 분석</t>
    <phoneticPr fontId="1" type="noConversion"/>
  </si>
  <si>
    <t>김형권 과장</t>
    <phoneticPr fontId="46" type="noConversion"/>
  </si>
  <si>
    <t xml:space="preserve">  • 연료(유연탄,Bio,유기성고형연료), 부재료(Ash,석회석,Lime 등) 입출고 계획 및 재고 관리</t>
    <phoneticPr fontId="1" type="noConversion"/>
  </si>
  <si>
    <t>보조 : 예비인력1</t>
    <phoneticPr fontId="46" type="noConversion"/>
  </si>
  <si>
    <t>외주용역(연료설비, 특수미화원) 업무 관리</t>
    <phoneticPr fontId="46" type="noConversion"/>
  </si>
  <si>
    <t xml:space="preserve">  • 연료설비(Coal, Bio, 유기성고형연료) 운전 및 점검 관리</t>
    <phoneticPr fontId="42" type="noConversion"/>
  </si>
  <si>
    <t>송관석 주임</t>
    <phoneticPr fontId="46" type="noConversion"/>
  </si>
  <si>
    <t xml:space="preserve">  • Ash(Fly Ash, Bed Ash, SDA Ash) 반출설비 운전 및 점검 관리</t>
    <phoneticPr fontId="42" type="noConversion"/>
  </si>
  <si>
    <t>보조 : 예비인력1</t>
    <phoneticPr fontId="46" type="noConversion"/>
  </si>
  <si>
    <t xml:space="preserve">  • 용역사 기성 내역 검토 및 관리</t>
    <phoneticPr fontId="42" type="noConversion"/>
  </si>
  <si>
    <t>T/G출력제어(KPX)</t>
    <phoneticPr fontId="1" type="noConversion"/>
  </si>
  <si>
    <t xml:space="preserve">  • 전력거래소 및 비중앙발전기 출력제어운전 관련 업무 </t>
    <phoneticPr fontId="42" type="noConversion"/>
  </si>
  <si>
    <t>김형권 과장</t>
    <phoneticPr fontId="1" type="noConversion"/>
  </si>
  <si>
    <t>효율업무1
(설비운영∙운전
및
안전관리)</t>
    <phoneticPr fontId="46" type="noConversion"/>
  </si>
  <si>
    <t>설비 운영관리</t>
    <phoneticPr fontId="42" type="noConversion"/>
  </si>
  <si>
    <t>공진철 차장</t>
    <phoneticPr fontId="46" type="noConversion"/>
  </si>
  <si>
    <t xml:space="preserve">  • 유연탄 항차, Bio 및 유기성고형연료 입고 계획 관리</t>
    <phoneticPr fontId="46" type="noConversion"/>
  </si>
  <si>
    <t xml:space="preserve">  • 유연탄, 혼소연료(Bio 등) 성적서 확인(REC 관련 매월 업체별 공인분석 성적서 관리)</t>
    <phoneticPr fontId="46" type="noConversion"/>
  </si>
  <si>
    <t xml:space="preserve">  • Bio 및 유기성고형연료 혼소율 운전계획 대비 실적 관리(연료 발열량 등 고려)</t>
    <phoneticPr fontId="46" type="noConversion"/>
  </si>
  <si>
    <t xml:space="preserve">  • 최적의 설비운영 및 원가절감 기술 검토</t>
    <phoneticPr fontId="46" type="noConversion"/>
  </si>
  <si>
    <t xml:space="preserve">  • 보일러 및 터빈 성능분석 및 관리, 경제적 운전 방안 수립</t>
    <phoneticPr fontId="42" type="noConversion"/>
  </si>
  <si>
    <t xml:space="preserve">  • 설비사고(공정사고 등) 및 주설비정지 원인 분석, 대응방안 검토 [공정사고 조사위원회 간사]</t>
    <phoneticPr fontId="42" type="noConversion"/>
  </si>
  <si>
    <t>(사고조사위원회 간사)</t>
    <phoneticPr fontId="46" type="noConversion"/>
  </si>
  <si>
    <t xml:space="preserve">  • 연료원 다변화 및 혼소율 증대 관련 설비운전 영향 등 검토</t>
    <phoneticPr fontId="42" type="noConversion"/>
  </si>
  <si>
    <t>설비 운전관리</t>
    <phoneticPr fontId="46" type="noConversion"/>
  </si>
  <si>
    <r>
      <t xml:space="preserve">  • 각종 운전 Test 관리(연소 Test, </t>
    </r>
    <r>
      <rPr>
        <b/>
        <sz val="11"/>
        <color rgb="FF0000FF"/>
        <rFont val="맑은 고딕"/>
        <family val="3"/>
        <charset val="129"/>
        <scheme val="major"/>
      </rPr>
      <t>미연탄소분 관리, 설비 최적운전 조건</t>
    </r>
    <r>
      <rPr>
        <b/>
        <sz val="11"/>
        <rFont val="맑은 고딕"/>
        <family val="3"/>
        <charset val="129"/>
        <scheme val="major"/>
      </rPr>
      <t xml:space="preserve"> 등)</t>
    </r>
    <phoneticPr fontId="46" type="noConversion"/>
  </si>
  <si>
    <t>공진철 차장</t>
    <phoneticPr fontId="46" type="noConversion"/>
  </si>
  <si>
    <t xml:space="preserve">  • 기동, 정지 운전 계획 수립 및 검토(OH공사, 탄종변경 등)</t>
    <phoneticPr fontId="42" type="noConversion"/>
  </si>
  <si>
    <t>통합문서(절차서) 관리</t>
    <phoneticPr fontId="42" type="noConversion"/>
  </si>
  <si>
    <t xml:space="preserve">  • 각종 운전절차서, 지침서 보완 및 개정</t>
    <phoneticPr fontId="42" type="noConversion"/>
  </si>
  <si>
    <t xml:space="preserve">  • 설비운전 관련 참고 운전 Guide, Check List 양식 등 작성 및 관리</t>
    <phoneticPr fontId="42" type="noConversion"/>
  </si>
  <si>
    <t xml:space="preserve">  • 무정지 운전 방안 검토(설비 정지 예상 상황 분석 및 조치방안, Risk 설비 조사 등)</t>
    <phoneticPr fontId="42" type="noConversion"/>
  </si>
  <si>
    <t>안전관리</t>
    <phoneticPr fontId="46" type="noConversion"/>
  </si>
  <si>
    <r>
      <t xml:space="preserve">  • </t>
    </r>
    <r>
      <rPr>
        <b/>
        <sz val="11"/>
        <rFont val="맑은 고딕"/>
        <family val="3"/>
        <charset val="129"/>
      </rPr>
      <t>팀내 PSM 업무(변경관리, 가동전지침서, 안전운전지침서 등)</t>
    </r>
    <phoneticPr fontId="42" type="noConversion"/>
  </si>
  <si>
    <r>
      <t xml:space="preserve">  • </t>
    </r>
    <r>
      <rPr>
        <b/>
        <sz val="11"/>
        <rFont val="맑은 고딕"/>
        <family val="3"/>
        <charset val="129"/>
      </rPr>
      <t>안전작업허가서 관리(정비부서, 연료설비 등 작업허가서 최종본 관리)</t>
    </r>
    <phoneticPr fontId="42" type="noConversion"/>
  </si>
  <si>
    <t>보조 : 예비인력1</t>
    <phoneticPr fontId="46" type="noConversion"/>
  </si>
  <si>
    <r>
      <t>효율업무2
(운영실적, 교육훈련,
행정</t>
    </r>
    <r>
      <rPr>
        <b/>
        <sz val="11"/>
        <rFont val="맑은 고딕"/>
        <family val="3"/>
        <charset val="129"/>
      </rPr>
      <t>∙구매관리</t>
    </r>
    <r>
      <rPr>
        <b/>
        <sz val="11"/>
        <rFont val="맑은 고딕"/>
        <family val="3"/>
        <charset val="129"/>
        <scheme val="minor"/>
      </rPr>
      <t>)</t>
    </r>
    <phoneticPr fontId="46" type="noConversion"/>
  </si>
  <si>
    <t>운전자료 통계•Data 관리</t>
    <phoneticPr fontId="42" type="noConversion"/>
  </si>
  <si>
    <t xml:space="preserve">  • 운전기록 및 이력관리 (증기, 전기생산, 연료사용량, 약품 사용량 등)</t>
    <phoneticPr fontId="42" type="noConversion"/>
  </si>
  <si>
    <t>김형권 과장</t>
    <phoneticPr fontId="46" type="noConversion"/>
  </si>
  <si>
    <t xml:space="preserve">  • EP 운전정보시스템 운영정보 "일일운전현황(발전)", "일일 보고현황(효율)") Data 관리</t>
    <phoneticPr fontId="42" type="noConversion"/>
  </si>
  <si>
    <t xml:space="preserve">  • 월간 운영실적 작성 및 관리(운전효율 등), 유관부서 공유(To.경영관리팀,운영지원팀,환경팀)</t>
    <phoneticPr fontId="42" type="noConversion"/>
  </si>
  <si>
    <t xml:space="preserve">  • 전력판매량, 수전요금, 도시가스 요금 실적 관리</t>
    <phoneticPr fontId="42" type="noConversion"/>
  </si>
  <si>
    <r>
      <t xml:space="preserve">  • </t>
    </r>
    <r>
      <rPr>
        <b/>
        <sz val="11"/>
        <rFont val="맑은 고딕"/>
        <family val="3"/>
        <charset val="129"/>
      </rPr>
      <t>연간 연료 사용량 등록 및 신고(한국에너지공단, 에너지관리자 업무)</t>
    </r>
    <phoneticPr fontId="42" type="noConversion"/>
  </si>
  <si>
    <t>수전 및 전력 판매량 관리</t>
    <phoneticPr fontId="42" type="noConversion"/>
  </si>
  <si>
    <t xml:space="preserve">  • 전력거래소 실적 및 운전정보 입력(KPX 자료 → 운영정보시스템 입력)</t>
    <phoneticPr fontId="42" type="noConversion"/>
  </si>
  <si>
    <t xml:space="preserve">  • 수전 전력요금 </t>
    <phoneticPr fontId="42" type="noConversion"/>
  </si>
  <si>
    <t xml:space="preserve">  • 주요 TM사항 및 설비 관리 상태 점검 (Blower, Suction Strainer 관리 등)</t>
    <phoneticPr fontId="42" type="noConversion"/>
  </si>
  <si>
    <t>김형권 과장</t>
    <phoneticPr fontId="46" type="noConversion"/>
  </si>
  <si>
    <t xml:space="preserve">  • 운전원 순찰 점검 일지 점검 및 통합 관리</t>
    <phoneticPr fontId="42" type="noConversion"/>
  </si>
  <si>
    <t>고압가스(CO2) 관리</t>
    <phoneticPr fontId="1" type="noConversion"/>
  </si>
  <si>
    <t xml:space="preserve">  • 고압가스 설비 안전점검(일간) 및 가스 재고관리(충진)</t>
    <phoneticPr fontId="42" type="noConversion"/>
  </si>
  <si>
    <t xml:space="preserve">  • 고압가스 안전교육(매월, 전사??)</t>
    <phoneticPr fontId="42" type="noConversion"/>
  </si>
  <si>
    <t>DX업무</t>
    <phoneticPr fontId="46" type="noConversion"/>
  </si>
  <si>
    <t>• DX 도입 가능 분야 발굴 및 추진</t>
    <phoneticPr fontId="46" type="noConversion"/>
  </si>
  <si>
    <t>교육•훈련 관리</t>
    <phoneticPr fontId="42" type="noConversion"/>
  </si>
  <si>
    <t xml:space="preserve">  • 통합 비상모의 훈련계획 수립 및 분기별 실적 관리</t>
    <phoneticPr fontId="42" type="noConversion"/>
  </si>
  <si>
    <t>김형권 과장</t>
    <phoneticPr fontId="46" type="noConversion"/>
  </si>
  <si>
    <t xml:space="preserve">  • 자체교육 및 외부위탁교육 실적 관리</t>
    <phoneticPr fontId="42" type="noConversion"/>
  </si>
  <si>
    <t xml:space="preserve">  • 신입사원 교육</t>
    <phoneticPr fontId="42" type="noConversion"/>
  </si>
  <si>
    <r>
      <t xml:space="preserve"> 행정</t>
    </r>
    <r>
      <rPr>
        <b/>
        <sz val="11"/>
        <rFont val="맑은 고딕"/>
        <family val="3"/>
        <charset val="129"/>
      </rPr>
      <t>•구매 관리</t>
    </r>
    <phoneticPr fontId="42" type="noConversion"/>
  </si>
  <si>
    <t xml:space="preserve">  • 무전기 및 전동공구 구매 및 현황 관리(자이E 연료운전 및 분진원 포함)</t>
    <phoneticPr fontId="46" type="noConversion"/>
  </si>
  <si>
    <t>보조 : 예비인력2</t>
    <phoneticPr fontId="46" type="noConversion"/>
  </si>
  <si>
    <t xml:space="preserve">  • 팀내 수선비 및 소모성 예산 물품 구매</t>
    <phoneticPr fontId="42" type="noConversion"/>
  </si>
  <si>
    <t>보조 : 예비인력2</t>
    <phoneticPr fontId="46" type="noConversion"/>
  </si>
  <si>
    <t xml:space="preserve">  • 팀내 근태관리 (OT 등) / 팀원 각종 수요파악 취합 업무, 기타 업무지원</t>
    <phoneticPr fontId="42" type="noConversion"/>
  </si>
  <si>
    <t>파트장외 6명</t>
    <phoneticPr fontId="46" type="noConversion"/>
  </si>
  <si>
    <t>발전 및 열생산
설비 운전</t>
    <phoneticPr fontId="46" type="noConversion"/>
  </si>
  <si>
    <t xml:space="preserve">  • 발전 및 열생산 설비 운전(일근 시간외 사업장 전체 설비 운전 관리)</t>
    <phoneticPr fontId="46" type="noConversion"/>
  </si>
  <si>
    <t xml:space="preserve">  • Clean SYS 환경등록 확인, 설비 Trouble Report, 운전절차서 등 검토 및 확인</t>
    <phoneticPr fontId="46" type="noConversion"/>
  </si>
  <si>
    <t xml:space="preserve">  • 열수요처 증기 공급상태 파악 및 안정적 증기공급 운전 조치</t>
    <phoneticPr fontId="46" type="noConversion"/>
  </si>
  <si>
    <t xml:space="preserve">  • 설비관리(순찰 및 점검, 설비 청결 관리 등), 고장 설비 TM 발행 및 Tag관리, 정비작업 현장지원</t>
    <phoneticPr fontId="46" type="noConversion"/>
  </si>
  <si>
    <t xml:space="preserve">  • 안전관리(정비작업 대응 운전 관리, 작업허가서 승인 및 작업후 안전점검, BM작업 등)</t>
    <phoneticPr fontId="46" type="noConversion"/>
  </si>
  <si>
    <t xml:space="preserve">비고) 1. </t>
    <phoneticPr fontId="46" type="noConversion"/>
  </si>
  <si>
    <t>* 운전파트 상세 역무</t>
    <phoneticPr fontId="46" type="noConversion"/>
  </si>
  <si>
    <t>파트장
(조용환과장,
 한만석차장,
 남정현차장,
 김광표부장)</t>
    <phoneticPr fontId="46" type="noConversion"/>
  </si>
  <si>
    <t>설비운전관리
및
긴급상황 비상조치</t>
    <phoneticPr fontId="46" type="noConversion"/>
  </si>
  <si>
    <t xml:space="preserve">  • 발전 운전현황 관리 및 보고</t>
    <phoneticPr fontId="46" type="noConversion"/>
  </si>
  <si>
    <t xml:space="preserve">  • 발전 및 열생산 설비 운전 총괄(일근 시간외 사업장 전체 설비 운전 관리)</t>
    <phoneticPr fontId="46" type="noConversion"/>
  </si>
  <si>
    <t xml:space="preserve">  • 설비관리(운전원 순찰 및 점검, 설비 청결 관리 등), 운전절차서 검토</t>
    <phoneticPr fontId="46" type="noConversion"/>
  </si>
  <si>
    <t xml:space="preserve">  • 안전관리(정비작업 대응 운전 관리, 작업허가서 승인 및 작업후 안전점검, BM작업 등)</t>
    <phoneticPr fontId="46" type="noConversion"/>
  </si>
  <si>
    <t xml:space="preserve">  • 파트원 교육 훈련 및 관리(비상모의훈련, 직무교육, 안전교육 등)</t>
    <phoneticPr fontId="46" type="noConversion"/>
  </si>
  <si>
    <t>설비운전</t>
    <phoneticPr fontId="46" type="noConversion"/>
  </si>
  <si>
    <r>
      <t xml:space="preserve">  • 터빈/발전기 및 부대설비(HP/LP Bypass, 냉각수계통 등) 제어실운전, 각종 기록 및 관리
</t>
    </r>
    <r>
      <rPr>
        <sz val="12"/>
        <color theme="1"/>
        <rFont val="Times New Roman"/>
        <family val="1"/>
      </rPr>
      <t/>
    </r>
    <phoneticPr fontId="1" type="noConversion"/>
  </si>
  <si>
    <t xml:space="preserve">  • ECMS 및 전기설비(전기실, SWGR, GIS, TR, 비상발전기 등) 운전</t>
    <phoneticPr fontId="46" type="noConversion"/>
  </si>
  <si>
    <t xml:space="preserve">  • 기타설비 운전(주설비및보조보일러건물∙냉각수펌프동 HVAC Sys., 운전설비 Sump pump)</t>
    <phoneticPr fontId="46" type="noConversion"/>
  </si>
  <si>
    <t>BCO1
(서동인과장,
 형준영과장,
 이휘근과장,
 하태곤과장)</t>
    <phoneticPr fontId="46" type="noConversion"/>
  </si>
  <si>
    <t>설비운전</t>
    <phoneticPr fontId="46" type="noConversion"/>
  </si>
  <si>
    <t>1호기 보일러 운전
(제어실운전원)</t>
    <phoneticPr fontId="1" type="noConversion"/>
  </si>
  <si>
    <t xml:space="preserve">  • N0.1 CFBC Boiler 및 부대설비 제어실운전, 각종 기록 및 관리</t>
    <phoneticPr fontId="46" type="noConversion"/>
  </si>
  <si>
    <t xml:space="preserve">  • BOP 설비(Blower 및 Fan류, 연료공급 및 부재료 계통, 회처리, 배가스 환경설비 등) 운전</t>
    <phoneticPr fontId="46" type="noConversion"/>
  </si>
  <si>
    <t xml:space="preserve">  • TMS 환경 기준치 이내운전 관리(Sox, Nox, Dust)</t>
    <phoneticPr fontId="46" type="noConversion"/>
  </si>
  <si>
    <t xml:space="preserve">  • 팀내 파트별 교육자료 관리(비상모의훈련, 안전, 직무교육 등)</t>
    <phoneticPr fontId="46" type="noConversion"/>
  </si>
  <si>
    <t>BCO2
(권훈대리,
 최혜민대리,
 김현상대리,
 박일남대리)</t>
    <phoneticPr fontId="46" type="noConversion"/>
  </si>
  <si>
    <t>설비운전</t>
    <phoneticPr fontId="46" type="noConversion"/>
  </si>
  <si>
    <t>2호기 보일러 운전
(제어실운전원)</t>
    <phoneticPr fontId="1" type="noConversion"/>
  </si>
  <si>
    <t xml:space="preserve">  • N0.2 CFBC Boiler 및 부대설비 제어실운전, 각종 기록 및 관리</t>
    <phoneticPr fontId="46" type="noConversion"/>
  </si>
  <si>
    <t xml:space="preserve">  • 혼소율 관리 및 최적 연소 운전, 부재료 사용량 관리</t>
    <phoneticPr fontId="46" type="noConversion"/>
  </si>
  <si>
    <t xml:space="preserve">  • TMS 환경 기준치 이내운전 관리(Sox, Nox, Dust)</t>
    <phoneticPr fontId="46" type="noConversion"/>
  </si>
  <si>
    <t xml:space="preserve">  • 수처리 및 연료취급설비(외주용역) 운전 업무지원(운전 협조)</t>
    <phoneticPr fontId="46" type="noConversion"/>
  </si>
  <si>
    <t>TO
(고석훈대리,
 양영균대리,
 한동혁대리,
 김민중대리)</t>
    <phoneticPr fontId="46" type="noConversion"/>
  </si>
  <si>
    <t>터빈/발전기 및
보조보일러 현장운전
및 점검(현장운전원)</t>
    <phoneticPr fontId="46" type="noConversion"/>
  </si>
  <si>
    <r>
      <t xml:space="preserve">  • 터빈/발전기 및 부대설비, BOP 설비 현장운전 및 점검
</t>
    </r>
    <r>
      <rPr>
        <sz val="12"/>
        <color theme="1"/>
        <rFont val="Times New Roman"/>
        <family val="1"/>
      </rPr>
      <t/>
    </r>
    <phoneticPr fontId="1" type="noConversion"/>
  </si>
  <si>
    <t xml:space="preserve">  • ECMS 및 전기설비(전기실, SWGR, GIS, TR, 비상발전기 등) 현장 점검 및 운전</t>
    <phoneticPr fontId="46" type="noConversion"/>
  </si>
  <si>
    <t xml:space="preserve">  • Aux. Boiler 현장 점검 및 운전 (긴급시 Aux. Boiler 제어실 운전 지원)</t>
    <phoneticPr fontId="46" type="noConversion"/>
  </si>
  <si>
    <t xml:space="preserve">  • 설비 예방관리 및 최적운전 현장관리, 고장 설비 TM 발행 및 Tag관리, 정비작업 현장지원</t>
    <phoneticPr fontId="46" type="noConversion"/>
  </si>
  <si>
    <t xml:space="preserve">  • 소화설비 점검, 소내 Process Steam Line Trap 관리, 주제어동 지하 설비 순찰 관리</t>
    <phoneticPr fontId="46" type="noConversion"/>
  </si>
  <si>
    <t>설비운전</t>
    <phoneticPr fontId="46" type="noConversion"/>
  </si>
  <si>
    <t>1호기 보일러 현장운전
및 점검(현장운전원)</t>
    <phoneticPr fontId="1" type="noConversion"/>
  </si>
  <si>
    <t xml:space="preserve">  • N0.1 CFBC Boiler 및 부대설비 현장운전, 각종 기록 및 관리</t>
    <phoneticPr fontId="46" type="noConversion"/>
  </si>
  <si>
    <t xml:space="preserve">  • BOP 설비(정압기실, Fly Ash Silo 등) 현장운전 및 점검, Coal 및 Fly Ash Sampling</t>
    <phoneticPr fontId="46" type="noConversion"/>
  </si>
  <si>
    <r>
      <t xml:space="preserve">  • 설비별 월간</t>
    </r>
    <r>
      <rPr>
        <b/>
        <sz val="11"/>
        <rFont val="맑은 고딕"/>
        <family val="3"/>
        <charset val="129"/>
      </rPr>
      <t>·</t>
    </r>
    <r>
      <rPr>
        <b/>
        <sz val="11"/>
        <rFont val="맑은 고딕"/>
        <family val="3"/>
        <charset val="129"/>
        <scheme val="minor"/>
      </rPr>
      <t xml:space="preserve">주간·일일점검 및 교체운전(현장) 관리, 1호기분야 설비점검, Log Sheet 작성 </t>
    </r>
    <phoneticPr fontId="46" type="noConversion"/>
  </si>
  <si>
    <t xml:space="preserve">  • 설비 예방관리 및 최적운전 현장관리, 고장 설비 TM 발행 및 Tag관리, 정비작업 현장지원</t>
    <phoneticPr fontId="46" type="noConversion"/>
  </si>
  <si>
    <t xml:space="preserve">  • 설비 청결관리 및 현장 안전관리, 설비고장 및 비상사고 현장 조치, 사고원인 파악</t>
    <phoneticPr fontId="46" type="noConversion"/>
  </si>
  <si>
    <t xml:space="preserve">  • 소화설비 점검, 동절기, 해빙기, 우기시 현장 예방점검</t>
    <phoneticPr fontId="46" type="noConversion"/>
  </si>
  <si>
    <t>BO2
(백성일주임,
 곽기영주임,
 방덕윤주임,
 최수민주임)</t>
    <phoneticPr fontId="46" type="noConversion"/>
  </si>
  <si>
    <t xml:space="preserve">  • N0.2 CFBC Boiler 및 부대설비 현장운전, 각종 기록 및 관리</t>
    <phoneticPr fontId="46" type="noConversion"/>
  </si>
  <si>
    <t xml:space="preserve">  • BOP 설비(Ash Air Comp. 등) 현장운전 및 점검, Coal 및 Fly Ash Sampling</t>
    <phoneticPr fontId="46" type="noConversion"/>
  </si>
  <si>
    <r>
      <t xml:space="preserve">  • 설비별 월간</t>
    </r>
    <r>
      <rPr>
        <b/>
        <sz val="11"/>
        <rFont val="맑은 고딕"/>
        <family val="3"/>
        <charset val="129"/>
      </rPr>
      <t>·</t>
    </r>
    <r>
      <rPr>
        <b/>
        <sz val="11"/>
        <rFont val="맑은 고딕"/>
        <family val="3"/>
        <charset val="129"/>
        <scheme val="minor"/>
      </rPr>
      <t xml:space="preserve">주간·일일점검 및 교체운전(현장) 관리, 2호기분야 설비점검, Log Sheet 작성 </t>
    </r>
    <phoneticPr fontId="46" type="noConversion"/>
  </si>
  <si>
    <t xml:space="preserve">  • 유기성고형연료 저장 및 공급설비 현장운전 및 점검</t>
    <phoneticPr fontId="46" type="noConversion"/>
  </si>
  <si>
    <t>김형권 과장</t>
    <phoneticPr fontId="46" type="noConversion"/>
  </si>
  <si>
    <t>설비운영팀 주요 Issue 업무 지시 및 진행현황</t>
  </si>
  <si>
    <t>[팀장 직접 수정 관리]</t>
  </si>
  <si>
    <t>No.</t>
  </si>
  <si>
    <t>주관분야</t>
  </si>
  <si>
    <t>Issue 사항</t>
  </si>
  <si>
    <t>Issue 시기</t>
  </si>
  <si>
    <t>담당(정,부)</t>
  </si>
  <si>
    <t>진행현황</t>
  </si>
  <si>
    <t>처리결과</t>
  </si>
  <si>
    <t>비고</t>
  </si>
  <si>
    <t>EP 실시간운전정보시스템 Data 및 그래픽 오류 또는 수정, 보완사항 List-up</t>
  </si>
  <si>
    <t>[오현주]</t>
    <phoneticPr fontId="1" type="noConversion"/>
  </si>
  <si>
    <t>오현주 차장</t>
    <phoneticPr fontId="46" type="noConversion"/>
  </si>
  <si>
    <t>송관석 주임
박태준 주임</t>
    <phoneticPr fontId="46" type="noConversion"/>
  </si>
  <si>
    <t>(실무 박태준 지원)</t>
    <phoneticPr fontId="46" type="noConversion"/>
  </si>
  <si>
    <t>(신입 업무 지원)</t>
    <phoneticPr fontId="46" type="noConversion"/>
  </si>
  <si>
    <t>설비 운전관리
및 공정사고 관리</t>
    <phoneticPr fontId="46" type="noConversion"/>
  </si>
  <si>
    <t xml:space="preserve">  • 각종 운전 Test 관리(연소 Test, 미연탄소분 관리, 설비 최적운전 조건 등)</t>
    <phoneticPr fontId="46" type="noConversion"/>
  </si>
  <si>
    <t xml:space="preserve">  • 설비 고장정지 원인 분석 및 Trouble History 관리</t>
    <phoneticPr fontId="46" type="noConversion"/>
  </si>
  <si>
    <r>
      <t xml:space="preserve">  • </t>
    </r>
    <r>
      <rPr>
        <b/>
        <sz val="11"/>
        <color rgb="FF0000FF"/>
        <rFont val="맑은 고딕"/>
        <family val="3"/>
        <charset val="129"/>
      </rPr>
      <t>안전작업허가서 관리(정비부서, 연료설비 등 작업허가서 최종본 관리)</t>
    </r>
    <phoneticPr fontId="42" type="noConversion"/>
  </si>
  <si>
    <t>(충원시까지
오현주 차장)</t>
    <phoneticPr fontId="46" type="noConversion"/>
  </si>
  <si>
    <t>(박태준,김덕용
 참여교육)</t>
    <phoneticPr fontId="46" type="noConversion"/>
  </si>
  <si>
    <t xml:space="preserve">  • DX 도입 가능 분야 발굴 및 추진</t>
    <phoneticPr fontId="46" type="noConversion"/>
  </si>
  <si>
    <t>비고) 1. 신입사원(박태준 주임, 김덕용 주임)은 효율파트 업무 지원 필요시 수시 지원, 현장 및 설비이론 학습교육</t>
    <phoneticPr fontId="46" type="noConversion"/>
  </si>
  <si>
    <t>GS포천그린에너지 설비운영팀 업무분장 (상세)</t>
    <phoneticPr fontId="46" type="noConversion"/>
  </si>
  <si>
    <r>
      <t>r</t>
    </r>
    <r>
      <rPr>
        <b/>
        <sz val="12"/>
        <rFont val="맑은 고딕"/>
        <family val="3"/>
        <charset val="129"/>
        <scheme val="minor"/>
      </rPr>
      <t xml:space="preserve"> 인력구성 : 팀장 포함 총 33명(부장 2, 차장 4, 과장 8, 대리 8, 주임 11)</t>
    </r>
    <phoneticPr fontId="46" type="noConversion"/>
  </si>
  <si>
    <r>
      <t>r</t>
    </r>
    <r>
      <rPr>
        <b/>
        <sz val="12"/>
        <rFont val="맑은 고딕"/>
        <family val="3"/>
        <charset val="129"/>
        <scheme val="minor"/>
      </rPr>
      <t xml:space="preserve"> 주요업무 : 설비운영 및 발전효율 관리</t>
    </r>
    <phoneticPr fontId="46" type="noConversion"/>
  </si>
  <si>
    <t>(설비운영팀, 2025.11.01기준)</t>
    <phoneticPr fontId="46" type="noConversion"/>
  </si>
  <si>
    <t>부서명</t>
    <phoneticPr fontId="42" type="noConversion"/>
  </si>
  <si>
    <t>담당자</t>
    <phoneticPr fontId="46" type="noConversion"/>
  </si>
  <si>
    <t>업무분야</t>
    <phoneticPr fontId="46" type="noConversion"/>
  </si>
  <si>
    <t>주요업무</t>
    <phoneticPr fontId="46" type="noConversion"/>
  </si>
  <si>
    <t>부 담당자</t>
    <phoneticPr fontId="42" type="noConversion"/>
  </si>
  <si>
    <t>비   고</t>
    <phoneticPr fontId="1" type="noConversion"/>
  </si>
  <si>
    <t>운영본부</t>
    <phoneticPr fontId="46" type="noConversion"/>
  </si>
  <si>
    <t>오현주 차장</t>
    <phoneticPr fontId="46" type="noConversion"/>
  </si>
  <si>
    <t>효율업무 총괄
(목표관리 및 원부재료, 용역사 관리)</t>
    <phoneticPr fontId="46" type="noConversion"/>
  </si>
  <si>
    <t>효율파트 업무 총괄</t>
    <phoneticPr fontId="42" type="noConversion"/>
  </si>
  <si>
    <t xml:space="preserve">  • 효율파트 업무 총괄 현황관리 및 점검(운영현황 및 실적, 안전, 교육 등)</t>
    <phoneticPr fontId="42" type="noConversion"/>
  </si>
  <si>
    <t>송관석 주임</t>
    <phoneticPr fontId="46" type="noConversion"/>
  </si>
  <si>
    <t xml:space="preserve">  • 년간운전계획 및 실적, 예산계획 수립</t>
    <phoneticPr fontId="42" type="noConversion"/>
  </si>
  <si>
    <t xml:space="preserve">  • 운영본부 임원 회의자료 작성(경영계획, 분기실적자료, 자회사회의자료)</t>
    <phoneticPr fontId="42" type="noConversion"/>
  </si>
  <si>
    <t>원부재료 운영 관리</t>
    <phoneticPr fontId="46" type="noConversion"/>
  </si>
  <si>
    <t xml:space="preserve">  • 유연탄 항차 탄종 연소성(사용 적정성) 분석</t>
    <phoneticPr fontId="1" type="noConversion"/>
  </si>
  <si>
    <r>
      <t xml:space="preserve">  •</t>
    </r>
    <r>
      <rPr>
        <b/>
        <sz val="11"/>
        <rFont val="맑은 고딕"/>
        <family val="3"/>
        <charset val="129"/>
        <scheme val="major"/>
      </rPr>
      <t xml:space="preserve"> 연료(유연탄,Bio,유기성고형연료)</t>
    </r>
    <r>
      <rPr>
        <b/>
        <sz val="11"/>
        <color rgb="FF0000FF"/>
        <rFont val="맑은 고딕"/>
        <family val="3"/>
        <charset val="129"/>
        <scheme val="major"/>
      </rPr>
      <t>, 부재료(Ash,석회석,Lime 등) 입출고 계획 및 재고 관리</t>
    </r>
    <phoneticPr fontId="1" type="noConversion"/>
  </si>
  <si>
    <t>(실무 박태준 지원)</t>
    <phoneticPr fontId="46" type="noConversion"/>
  </si>
  <si>
    <r>
      <t xml:space="preserve">송관석 주임,
</t>
    </r>
    <r>
      <rPr>
        <b/>
        <sz val="11"/>
        <color rgb="FF0000FF"/>
        <rFont val="맑은 고딕"/>
        <family val="3"/>
        <charset val="129"/>
        <scheme val="minor"/>
      </rPr>
      <t>박태준 주임</t>
    </r>
    <phoneticPr fontId="46" type="noConversion"/>
  </si>
  <si>
    <r>
      <t>(</t>
    </r>
    <r>
      <rPr>
        <b/>
        <sz val="11"/>
        <color rgb="FF0000FF"/>
        <rFont val="맑은 고딕"/>
        <family val="3"/>
        <charset val="129"/>
        <scheme val="minor"/>
      </rPr>
      <t>박태준 주임</t>
    </r>
    <r>
      <rPr>
        <b/>
        <sz val="11"/>
        <rFont val="맑은 고딕"/>
        <family val="3"/>
        <charset val="129"/>
        <scheme val="minor"/>
      </rPr>
      <t>)</t>
    </r>
    <phoneticPr fontId="46" type="noConversion"/>
  </si>
  <si>
    <r>
      <t xml:space="preserve">(충원시까지
오현주 차장,
</t>
    </r>
    <r>
      <rPr>
        <b/>
        <sz val="11"/>
        <color rgb="FF0000FF"/>
        <rFont val="맑은 고딕"/>
        <family val="3"/>
        <charset val="129"/>
        <scheme val="minor"/>
      </rPr>
      <t>박태준 주임</t>
    </r>
    <r>
      <rPr>
        <b/>
        <sz val="11"/>
        <rFont val="맑은 고딕"/>
        <family val="3"/>
        <charset val="129"/>
        <scheme val="minor"/>
      </rPr>
      <t>)</t>
    </r>
    <phoneticPr fontId="46" type="noConversion"/>
  </si>
  <si>
    <t>(박태준 참여교육)</t>
    <phoneticPr fontId="46" type="noConversion"/>
  </si>
  <si>
    <t>(박태준 주임)</t>
    <phoneticPr fontId="46" type="noConversion"/>
  </si>
  <si>
    <t>박태준 주임</t>
    <phoneticPr fontId="46" type="noConversion"/>
  </si>
  <si>
    <t xml:space="preserve">  • TBN/GEN 운전관리 지원(Aux' Boiler 가동시)</t>
    <phoneticPr fontId="46" type="noConversion"/>
  </si>
  <si>
    <t>GS포천그린에너지 설비운영팀 업무분장</t>
    <phoneticPr fontId="46" type="noConversion"/>
  </si>
  <si>
    <r>
      <t>r</t>
    </r>
    <r>
      <rPr>
        <b/>
        <sz val="12"/>
        <rFont val="맑은 고딕"/>
        <family val="3"/>
        <charset val="129"/>
        <scheme val="minor"/>
      </rPr>
      <t xml:space="preserve"> 인력구성 : 팀장 포함 총 32명(부장 2, 차장 4, 과장 8, 대리 8, 주임 10)</t>
    </r>
    <phoneticPr fontId="46" type="noConversion"/>
  </si>
  <si>
    <r>
      <t>r</t>
    </r>
    <r>
      <rPr>
        <b/>
        <sz val="12"/>
        <rFont val="맑은 고딕"/>
        <family val="3"/>
        <charset val="129"/>
        <scheme val="minor"/>
      </rPr>
      <t xml:space="preserve"> 주요업무 : 설비운영 및 발전효율 관리</t>
    </r>
    <phoneticPr fontId="46" type="noConversion"/>
  </si>
  <si>
    <t>(설비운영팀, 2025.11.01기준)</t>
    <phoneticPr fontId="46" type="noConversion"/>
  </si>
  <si>
    <t>부서명</t>
    <phoneticPr fontId="42" type="noConversion"/>
  </si>
  <si>
    <t>업무분야</t>
    <phoneticPr fontId="46" type="noConversion"/>
  </si>
  <si>
    <t>업무 세부내역</t>
    <phoneticPr fontId="42" type="noConversion"/>
  </si>
  <si>
    <t>부 담당자</t>
    <phoneticPr fontId="42" type="noConversion"/>
  </si>
  <si>
    <t>설비운영팀</t>
    <phoneticPr fontId="46" type="noConversion"/>
  </si>
  <si>
    <t>오현주 차장</t>
    <phoneticPr fontId="46" type="noConversion"/>
  </si>
  <si>
    <t>효율파트 업무 총괄</t>
    <phoneticPr fontId="42" type="noConversion"/>
  </si>
  <si>
    <t>송관석 주임</t>
    <phoneticPr fontId="46" type="noConversion"/>
  </si>
  <si>
    <t>운영목표 관리</t>
    <phoneticPr fontId="42" type="noConversion"/>
  </si>
  <si>
    <t xml:space="preserve">  • 팀내 주요 성과목표(KPI) 계획수립 및 실적관리</t>
    <phoneticPr fontId="46" type="noConversion"/>
  </si>
  <si>
    <t xml:space="preserve">  • 년간운전계획 및 실적, 예산계획 수립</t>
    <phoneticPr fontId="42" type="noConversion"/>
  </si>
  <si>
    <t xml:space="preserve">  • 운영본부 임원 회의자료 작성(경영계획, 분기실적자료, 자회사회의자료)</t>
    <phoneticPr fontId="42" type="noConversion"/>
  </si>
  <si>
    <t>원부재료 운영 관리</t>
    <phoneticPr fontId="46" type="noConversion"/>
  </si>
  <si>
    <t xml:space="preserve">  • 유연탄 항차 탄종 연소성(사용 적정성) 분석</t>
    <phoneticPr fontId="1" type="noConversion"/>
  </si>
  <si>
    <t>송관석 주임
박태준 주임</t>
    <phoneticPr fontId="46" type="noConversion"/>
  </si>
  <si>
    <r>
      <t xml:space="preserve">  •</t>
    </r>
    <r>
      <rPr>
        <b/>
        <sz val="11"/>
        <rFont val="맑은 고딕"/>
        <family val="3"/>
        <charset val="129"/>
        <scheme val="major"/>
      </rPr>
      <t xml:space="preserve"> 연료(유연탄,Bio,유기성고형연료)</t>
    </r>
    <r>
      <rPr>
        <b/>
        <sz val="11"/>
        <color rgb="FF0000FF"/>
        <rFont val="맑은 고딕"/>
        <family val="3"/>
        <charset val="129"/>
        <scheme val="major"/>
      </rPr>
      <t>, 부재료(Ash,석회석,Lime 등) 입출고 계획 및 재고 관리</t>
    </r>
    <phoneticPr fontId="1" type="noConversion"/>
  </si>
  <si>
    <t>(실무 박태준 지원)</t>
    <phoneticPr fontId="46" type="noConversion"/>
  </si>
  <si>
    <t>외주용역(연료설비, 특수미화원) 업무 관리</t>
    <phoneticPr fontId="46" type="noConversion"/>
  </si>
  <si>
    <t xml:space="preserve">  • 연료설비(Coal, Bio, 유기성고형연료) 운전 및 점검 관리</t>
    <phoneticPr fontId="42" type="noConversion"/>
  </si>
  <si>
    <r>
      <t xml:space="preserve">송관석 주임,
</t>
    </r>
    <r>
      <rPr>
        <b/>
        <sz val="11"/>
        <color rgb="FF0000FF"/>
        <rFont val="맑은 고딕"/>
        <family val="3"/>
        <charset val="129"/>
        <scheme val="minor"/>
      </rPr>
      <t>박태준 주임</t>
    </r>
    <phoneticPr fontId="46" type="noConversion"/>
  </si>
  <si>
    <t xml:space="preserve">  • Ash(Fly Ash, Bed Ash, SDA Ash) 반출설비 운전 및 점검 관리</t>
    <phoneticPr fontId="42" type="noConversion"/>
  </si>
  <si>
    <t xml:space="preserve">  • 특수미화원 역무 관리</t>
    <phoneticPr fontId="42" type="noConversion"/>
  </si>
  <si>
    <t>(신입 업무 지원)</t>
    <phoneticPr fontId="46" type="noConversion"/>
  </si>
  <si>
    <t xml:space="preserve">  • 용역사 기성 내역 검토 및 관리</t>
    <phoneticPr fontId="42" type="noConversion"/>
  </si>
  <si>
    <t>설비 운전관리
및 공정사고 관리</t>
    <phoneticPr fontId="46" type="noConversion"/>
  </si>
  <si>
    <t xml:space="preserve">  • 각종 운전 Test 관리(연소 Test, 미연탄소분 관리, 설비 최적운전 조건 등)</t>
    <phoneticPr fontId="46" type="noConversion"/>
  </si>
  <si>
    <t xml:space="preserve">  • 기동, 정지 운전 계획 수립 및 검토(OH공사, 탄종변경 등)</t>
    <phoneticPr fontId="42" type="noConversion"/>
  </si>
  <si>
    <t xml:space="preserve">  • 설비사고(공정사고 등) 및 주설비정지 원인 분석, 대응방안 검토 [공정사고 조사위원회 간사]</t>
    <phoneticPr fontId="42" type="noConversion"/>
  </si>
  <si>
    <t>통합문서(절차서) 관리</t>
    <phoneticPr fontId="42" type="noConversion"/>
  </si>
  <si>
    <t xml:space="preserve">  • 각종 운전절차서, 지침서 보완 및 개정</t>
    <phoneticPr fontId="42" type="noConversion"/>
  </si>
  <si>
    <t xml:space="preserve">  • 설비운전 관련 참고 운전 Guide, Check List 양식 등 작성 및 관리</t>
    <phoneticPr fontId="42" type="noConversion"/>
  </si>
  <si>
    <t xml:space="preserve">  • 무정지 운전 방안 검토(설비 정지 예상 상황 분석 및 조치방안, Risk 설비 조사 등)</t>
    <phoneticPr fontId="42" type="noConversion"/>
  </si>
  <si>
    <t>T/G출력제어(KPX)</t>
    <phoneticPr fontId="1" type="noConversion"/>
  </si>
  <si>
    <t xml:space="preserve">  • 전력거래소 및 비중앙발전기 출력제어운전 관련 업무 </t>
    <phoneticPr fontId="42" type="noConversion"/>
  </si>
  <si>
    <t>설비 운영관리</t>
    <phoneticPr fontId="42" type="noConversion"/>
  </si>
  <si>
    <t xml:space="preserve">  • 주간 운영실적(전력생산, 연료사용량 및 혼소율) 현황 관리(경영관리팀 공유)</t>
    <phoneticPr fontId="42" type="noConversion"/>
  </si>
  <si>
    <t xml:space="preserve">  • 유연탄 항차, Bio 및 유기성고형연료 입고 계획 관리</t>
    <phoneticPr fontId="46" type="noConversion"/>
  </si>
  <si>
    <t xml:space="preserve">  • Bio 및 유기성고형연료 혼소율 운전계획 대비 실적 관리(연료 발열량 등 고려)</t>
    <phoneticPr fontId="46" type="noConversion"/>
  </si>
  <si>
    <t xml:space="preserve">  • 최적의 설비운영 및 원가절감 기술 검토</t>
    <phoneticPr fontId="46" type="noConversion"/>
  </si>
  <si>
    <t>안전관리</t>
    <phoneticPr fontId="46" type="noConversion"/>
  </si>
  <si>
    <r>
      <t xml:space="preserve">  • </t>
    </r>
    <r>
      <rPr>
        <b/>
        <sz val="11"/>
        <rFont val="맑은 고딕"/>
        <family val="3"/>
        <charset val="129"/>
      </rPr>
      <t>팀내 PSM 업무(변경관리, 가동전지침서, 안전운전지침서 등)</t>
    </r>
    <phoneticPr fontId="42" type="noConversion"/>
  </si>
  <si>
    <r>
      <t>(</t>
    </r>
    <r>
      <rPr>
        <b/>
        <sz val="11"/>
        <color rgb="FF0000FF"/>
        <rFont val="맑은 고딕"/>
        <family val="3"/>
        <charset val="129"/>
        <scheme val="minor"/>
      </rPr>
      <t>박태준 주임</t>
    </r>
    <r>
      <rPr>
        <b/>
        <sz val="11"/>
        <rFont val="맑은 고딕"/>
        <family val="3"/>
        <charset val="129"/>
        <scheme val="minor"/>
      </rPr>
      <t>)</t>
    </r>
    <phoneticPr fontId="46" type="noConversion"/>
  </si>
  <si>
    <t xml:space="preserve">  • 안전보건 교육(매월) 일지 관리, 아차사고 발굴 보고서 및 교육 관리</t>
    <phoneticPr fontId="42" type="noConversion"/>
  </si>
  <si>
    <t xml:space="preserve">  • 소내설비 안전운전 위한 설비 점검, 합동안전점검 결과 조치사항 관리</t>
    <phoneticPr fontId="42" type="noConversion"/>
  </si>
  <si>
    <r>
      <t xml:space="preserve">  • </t>
    </r>
    <r>
      <rPr>
        <b/>
        <sz val="11"/>
        <color rgb="FF0000FF"/>
        <rFont val="맑은 고딕"/>
        <family val="3"/>
        <charset val="129"/>
      </rPr>
      <t>안전작업허가서 관리(정비부서, 연료설비 등 작업허가서 최종본 관리)</t>
    </r>
    <phoneticPr fontId="42" type="noConversion"/>
  </si>
  <si>
    <r>
      <t>효율업무2
(운영실적, 교육훈련,
행정</t>
    </r>
    <r>
      <rPr>
        <b/>
        <sz val="11"/>
        <rFont val="맑은 고딕"/>
        <family val="3"/>
        <charset val="129"/>
      </rPr>
      <t>∙구매관리</t>
    </r>
    <r>
      <rPr>
        <b/>
        <sz val="11"/>
        <rFont val="맑은 고딕"/>
        <family val="3"/>
        <charset val="129"/>
        <scheme val="minor"/>
      </rPr>
      <t>)</t>
    </r>
    <phoneticPr fontId="46" type="noConversion"/>
  </si>
  <si>
    <t xml:space="preserve">  • 운전기록 및 이력관리 (증기, 전기생산, 연료사용량, 약품 사용량 등)</t>
    <phoneticPr fontId="42" type="noConversion"/>
  </si>
  <si>
    <r>
      <t xml:space="preserve">(충원시까지
오현주 차장,
</t>
    </r>
    <r>
      <rPr>
        <b/>
        <sz val="11"/>
        <color rgb="FF0000FF"/>
        <rFont val="맑은 고딕"/>
        <family val="3"/>
        <charset val="129"/>
        <scheme val="minor"/>
      </rPr>
      <t>박태준 주임</t>
    </r>
    <r>
      <rPr>
        <b/>
        <sz val="11"/>
        <rFont val="맑은 고딕"/>
        <family val="3"/>
        <charset val="129"/>
        <scheme val="minor"/>
      </rPr>
      <t>)</t>
    </r>
    <phoneticPr fontId="46" type="noConversion"/>
  </si>
  <si>
    <t xml:space="preserve">  • EP 운전정보시스템 운영정보 "일일운전현황(발전)", "일일 보고현황(효율)") Data 관리</t>
    <phoneticPr fontId="42" type="noConversion"/>
  </si>
  <si>
    <t>(실무 김덕용 지원)</t>
    <phoneticPr fontId="46" type="noConversion"/>
  </si>
  <si>
    <t xml:space="preserve">  • 월간 운영실적 작성 및 관리(운전효율 등), 유관부서 공유(To.경영관리팀,운영지원팀,환경팀)</t>
    <phoneticPr fontId="42" type="noConversion"/>
  </si>
  <si>
    <r>
      <t xml:space="preserve">  • </t>
    </r>
    <r>
      <rPr>
        <b/>
        <sz val="11"/>
        <rFont val="맑은 고딕"/>
        <family val="3"/>
        <charset val="129"/>
      </rPr>
      <t>연간 연료 사용량 등록 및 신고(한국에너지공단, 에너지관리자 업무)</t>
    </r>
    <phoneticPr fontId="42" type="noConversion"/>
  </si>
  <si>
    <r>
      <t xml:space="preserve">  • </t>
    </r>
    <r>
      <rPr>
        <b/>
        <sz val="11"/>
        <rFont val="맑은 고딕"/>
        <family val="3"/>
        <charset val="129"/>
      </rPr>
      <t>배출권 거래제 관련 업무(w. 경영관리팀)</t>
    </r>
    <phoneticPr fontId="42" type="noConversion"/>
  </si>
  <si>
    <t>수전 및 전력 판매량 관리</t>
    <phoneticPr fontId="42" type="noConversion"/>
  </si>
  <si>
    <t xml:space="preserve">  • 전력거래소 실적 및 운전정보 입력(KPX 자료 → 운영정보시스템 입력)</t>
    <phoneticPr fontId="42" type="noConversion"/>
  </si>
  <si>
    <t xml:space="preserve">  • 수전 전력요금 </t>
    <phoneticPr fontId="42" type="noConversion"/>
  </si>
  <si>
    <t>설비점검 현황 관리</t>
    <phoneticPr fontId="46" type="noConversion"/>
  </si>
  <si>
    <t xml:space="preserve">  • 주요 TM사항 및 설비 관리 상태 점검 (Blower, Suction Strainer 관리 등)</t>
    <phoneticPr fontId="42" type="noConversion"/>
  </si>
  <si>
    <t>(충원시까지
오현주 차장)</t>
    <phoneticPr fontId="46" type="noConversion"/>
  </si>
  <si>
    <t xml:space="preserve">  • 운전원 순찰 점검 일지 점검 및 통합 관리</t>
    <phoneticPr fontId="42" type="noConversion"/>
  </si>
  <si>
    <t xml:space="preserve">  • 고압가스 설비 안전점검(일간) 및 가스 재고관리(충진)</t>
    <phoneticPr fontId="42" type="noConversion"/>
  </si>
  <si>
    <t>(박태준 주임)</t>
    <phoneticPr fontId="46" type="noConversion"/>
  </si>
  <si>
    <t>(실무 박태준 지원)</t>
    <phoneticPr fontId="46" type="noConversion"/>
  </si>
  <si>
    <t xml:space="preserve">  • 고압가스 안전교육(매월, 전사??)</t>
    <phoneticPr fontId="42" type="noConversion"/>
  </si>
  <si>
    <t>DX업무</t>
    <phoneticPr fontId="46" type="noConversion"/>
  </si>
  <si>
    <t xml:space="preserve">  • DX 도입 가능 분야 발굴 및 추진</t>
    <phoneticPr fontId="46" type="noConversion"/>
  </si>
  <si>
    <t>박태준 주임</t>
    <phoneticPr fontId="46" type="noConversion"/>
  </si>
  <si>
    <r>
      <rPr>
        <b/>
        <sz val="11"/>
        <color rgb="FF00B0F0"/>
        <rFont val="맑은 고딕"/>
        <family val="3"/>
        <charset val="129"/>
        <scheme val="minor"/>
      </rPr>
      <t>(실무 김덕용,</t>
    </r>
    <r>
      <rPr>
        <b/>
        <sz val="11"/>
        <rFont val="맑은 고딕"/>
        <family val="3"/>
        <charset val="129"/>
        <scheme val="minor"/>
      </rPr>
      <t xml:space="preserve">
</t>
    </r>
    <r>
      <rPr>
        <b/>
        <sz val="11"/>
        <color rgb="FF00B050"/>
        <rFont val="맑은 고딕"/>
        <family val="3"/>
        <charset val="129"/>
        <scheme val="minor"/>
      </rPr>
      <t>김덕용 지원)</t>
    </r>
    <phoneticPr fontId="46" type="noConversion"/>
  </si>
  <si>
    <t>교육•훈련 관리</t>
    <phoneticPr fontId="42" type="noConversion"/>
  </si>
  <si>
    <t>오현주 차장</t>
    <phoneticPr fontId="46" type="noConversion"/>
  </si>
  <si>
    <t xml:space="preserve">  • 자체교육 및 외부위탁교육 실적 관리</t>
    <phoneticPr fontId="42" type="noConversion"/>
  </si>
  <si>
    <r>
      <t xml:space="preserve"> 행정</t>
    </r>
    <r>
      <rPr>
        <b/>
        <sz val="11"/>
        <rFont val="맑은 고딕"/>
        <family val="3"/>
        <charset val="129"/>
      </rPr>
      <t>•구매 관리</t>
    </r>
    <phoneticPr fontId="42" type="noConversion"/>
  </si>
  <si>
    <t xml:space="preserve">  • 무전기 및 전동공구 구매 및 현황 관리(자이E 연료운전 및 분진원 포함)</t>
    <phoneticPr fontId="46" type="noConversion"/>
  </si>
  <si>
    <r>
      <t>(</t>
    </r>
    <r>
      <rPr>
        <b/>
        <i/>
        <sz val="11"/>
        <color rgb="FF00B0F0"/>
        <rFont val="맑은 고딕"/>
        <family val="3"/>
        <charset val="129"/>
        <scheme val="minor"/>
      </rPr>
      <t>실무 김덕용</t>
    </r>
    <r>
      <rPr>
        <b/>
        <i/>
        <sz val="11"/>
        <color rgb="FF00B050"/>
        <rFont val="맑은 고딕"/>
        <family val="3"/>
        <charset val="129"/>
        <scheme val="minor"/>
      </rPr>
      <t>,
김덕용 지원)</t>
    </r>
    <phoneticPr fontId="46" type="noConversion"/>
  </si>
  <si>
    <t xml:space="preserve">  • 팀내 예산(통제성) 실적 관리 및 회계전표 처리</t>
    <phoneticPr fontId="42" type="noConversion"/>
  </si>
  <si>
    <t xml:space="preserve">  • 팀내 근태관리 (OT 등) / 팀원 각종 수요파악 취합 업무, 기타 업무지원</t>
    <phoneticPr fontId="42" type="noConversion"/>
  </si>
  <si>
    <t>파트장외 6명</t>
    <phoneticPr fontId="46" type="noConversion"/>
  </si>
  <si>
    <t>발전 및 열생산
설비 운전</t>
    <phoneticPr fontId="46" type="noConversion"/>
  </si>
  <si>
    <t>주설비 운전 및 관리,
긴급상황 비상조치</t>
    <phoneticPr fontId="46" type="noConversion"/>
  </si>
  <si>
    <t xml:space="preserve">  • 발전 운전현황 관리</t>
    <phoneticPr fontId="46" type="noConversion"/>
  </si>
  <si>
    <t xml:space="preserve">  • 발전 및 열생산 설비 운전(일근 시간외 사업장 전체 설비 운전 관리)</t>
    <phoneticPr fontId="46" type="noConversion"/>
  </si>
  <si>
    <t xml:space="preserve">  • 열수요처 증기 공급상태 파악 및 안정적 증기공급 운전 조치</t>
    <phoneticPr fontId="46" type="noConversion"/>
  </si>
  <si>
    <t xml:space="preserve">  • 설비관리(순찰 및 점검, 설비 청결 관리 등), 고장 설비 TM 발행 및 Tag관리, 정비작업 현장지원</t>
    <phoneticPr fontId="46" type="noConversion"/>
  </si>
  <si>
    <t xml:space="preserve">  • 안전관리(정비작업 대응 운전 관리, 작업허가서 승인 및 작업후 안전점검, BM작업 등)</t>
    <phoneticPr fontId="46" type="noConversion"/>
  </si>
  <si>
    <t xml:space="preserve">  • 비상상황 대응(비상시 상황 보고 및 긴급 대응 조치)</t>
    <phoneticPr fontId="46" type="noConversion"/>
  </si>
  <si>
    <t>운전원 Logging일지 작성건 Works 등을 이용하여 Paperless로 작성 및 관리토록 개선 요망</t>
  </si>
  <si>
    <t>[이성진]</t>
    <phoneticPr fontId="1" type="noConversion"/>
  </si>
  <si>
    <t xml:space="preserve"> / 효율파트</t>
    <phoneticPr fontId="46" type="noConversion"/>
  </si>
  <si>
    <t>송관석 대리</t>
    <phoneticPr fontId="46" type="noConversion"/>
  </si>
  <si>
    <t>원부재료 운영관리</t>
    <phoneticPr fontId="46" type="noConversion"/>
  </si>
  <si>
    <t>운전 통계•Data 관리</t>
    <phoneticPr fontId="42" type="noConversion"/>
  </si>
  <si>
    <t xml:space="preserve">  • 수전 전력요금(기본요금) 계획 및 실적 관리</t>
    <phoneticPr fontId="42" type="noConversion"/>
  </si>
  <si>
    <t>이성진 과장
(오현주 부장)</t>
    <phoneticPr fontId="46" type="noConversion"/>
  </si>
  <si>
    <t>설비운영팀 2026년 월별 업무 계획</t>
    <phoneticPr fontId="1" type="noConversion"/>
  </si>
  <si>
    <t>구  분</t>
    <phoneticPr fontId="1" type="noConversion"/>
  </si>
  <si>
    <t>1월</t>
    <phoneticPr fontId="1" type="noConversion"/>
  </si>
  <si>
    <t>비고</t>
    <phoneticPr fontId="1" type="noConversion"/>
  </si>
  <si>
    <t>주요 업무</t>
    <phoneticPr fontId="1" type="noConversion"/>
  </si>
  <si>
    <t>일정</t>
    <phoneticPr fontId="1" type="noConversion"/>
  </si>
  <si>
    <t>운영
업무
(효율)</t>
    <phoneticPr fontId="1" type="noConversion"/>
  </si>
  <si>
    <t>- 25년말 원재료(유연탄, 바이오 등) 재고실사결과 송부(재무회계팀)</t>
    <phoneticPr fontId="1" type="noConversion"/>
  </si>
  <si>
    <t>1/5</t>
    <phoneticPr fontId="1" type="noConversion"/>
  </si>
  <si>
    <t>- PSM심사 준비</t>
    <phoneticPr fontId="1" type="noConversion"/>
  </si>
  <si>
    <t>- 1분기 운영 실적 Data 보고(터빈 이용률 및 혼소율)</t>
    <phoneticPr fontId="1" type="noConversion"/>
  </si>
  <si>
    <t>4/7</t>
    <phoneticPr fontId="1" type="noConversion"/>
  </si>
  <si>
    <t xml:space="preserve">- OH공사 기동운전계획(내화물건조, 수질개선, 유동사(신사)입고 등) </t>
    <phoneticPr fontId="1" type="noConversion"/>
  </si>
  <si>
    <t>5/15,5/22</t>
    <phoneticPr fontId="1" type="noConversion"/>
  </si>
  <si>
    <t>- 장마철, 하절기 집중호우 대비 양수펌프 현황 점검</t>
    <phoneticPr fontId="1" type="noConversion"/>
  </si>
  <si>
    <t>6/2(첫주)</t>
    <phoneticPr fontId="1" type="noConversion"/>
  </si>
  <si>
    <t>- 2분기 운영 실적 Data 보고(터빈 이용률 및 혼소율)</t>
    <phoneticPr fontId="1" type="noConversion"/>
  </si>
  <si>
    <t>7/7</t>
    <phoneticPr fontId="1" type="noConversion"/>
  </si>
  <si>
    <t>- 차년도 경영계획 운전Data작성(w.경영관리팀)</t>
    <phoneticPr fontId="1" type="noConversion"/>
  </si>
  <si>
    <t>8/11</t>
    <phoneticPr fontId="1" type="noConversion"/>
  </si>
  <si>
    <t>- 차기년도 팀 예산안, 중점추진과제 등 준비</t>
    <phoneticPr fontId="1" type="noConversion"/>
  </si>
  <si>
    <t>9/8</t>
    <phoneticPr fontId="1" type="noConversion"/>
  </si>
  <si>
    <t>- 3분기 운영 실적 Data 보고(터빈 이용률 및 혼소율)</t>
    <phoneticPr fontId="1" type="noConversion"/>
  </si>
  <si>
    <t>10/13</t>
    <phoneticPr fontId="1" type="noConversion"/>
  </si>
  <si>
    <t>- 동절기 열공급시설(열원시설) 안전점검(한국에너지공단, 안전팀 송부)</t>
    <phoneticPr fontId="1" type="noConversion"/>
  </si>
  <si>
    <t>11/10</t>
    <phoneticPr fontId="1" type="noConversion"/>
  </si>
  <si>
    <t>- 4분기 및 년간 운영실적 Data 보고 (터빈 이용률 및 혼소율)</t>
    <phoneticPr fontId="1" type="noConversion"/>
  </si>
  <si>
    <t>12/28</t>
    <phoneticPr fontId="1" type="noConversion"/>
  </si>
  <si>
    <t>- 2025년 에너지사용량 신고</t>
    <phoneticPr fontId="1" type="noConversion"/>
  </si>
  <si>
    <t>1/22</t>
    <phoneticPr fontId="1" type="noConversion"/>
  </si>
  <si>
    <t>- SDA Hopper Ash 완전배출(2,5,8,11월)</t>
    <phoneticPr fontId="1" type="noConversion"/>
  </si>
  <si>
    <t>4주차(화)</t>
    <phoneticPr fontId="1" type="noConversion"/>
  </si>
  <si>
    <t>- OH 공사대비 정지운전(Shut Down Curve 등) 계획(2주전)</t>
    <phoneticPr fontId="1" type="noConversion"/>
  </si>
  <si>
    <t>4/15</t>
    <phoneticPr fontId="1" type="noConversion"/>
  </si>
  <si>
    <t>- 정지후 보일러 등 설비상태 점검</t>
    <phoneticPr fontId="1" type="noConversion"/>
  </si>
  <si>
    <t>OH기간</t>
    <phoneticPr fontId="1" type="noConversion"/>
  </si>
  <si>
    <t>- 팀원 하계휴가 계획 파악(6월말~7월초)</t>
    <phoneticPr fontId="1" type="noConversion"/>
  </si>
  <si>
    <t>7/2</t>
    <phoneticPr fontId="1" type="noConversion"/>
  </si>
  <si>
    <t>- 운영실적 및 예상치 작성(년간 실적자료)</t>
    <phoneticPr fontId="1" type="noConversion"/>
  </si>
  <si>
    <t>- 연료설비 Mist Spray Drain(동결예방)</t>
    <phoneticPr fontId="1" type="noConversion"/>
  </si>
  <si>
    <t>- 년말 원재료(유연탄, 바이오 등) 실제/장부 재고 점검(혼소율 연계)</t>
    <phoneticPr fontId="1" type="noConversion"/>
  </si>
  <si>
    <t>12/22</t>
    <phoneticPr fontId="1" type="noConversion"/>
  </si>
  <si>
    <t>- PSM문서(운전절차서) 적합성검토</t>
    <phoneticPr fontId="1" type="noConversion"/>
  </si>
  <si>
    <t>1/8</t>
    <phoneticPr fontId="1" type="noConversion"/>
  </si>
  <si>
    <t>- 2026년 KPI, Action Plan 제출</t>
    <phoneticPr fontId="1" type="noConversion"/>
  </si>
  <si>
    <t>2/15 ?</t>
    <phoneticPr fontId="1" type="noConversion"/>
  </si>
  <si>
    <t>- OH공사시 정지중 작업사항 List 재확인 (정비부서 제공, 추가작업 지시건)(3주전)</t>
    <phoneticPr fontId="1" type="noConversion"/>
  </si>
  <si>
    <t>4/10</t>
    <phoneticPr fontId="1" type="noConversion"/>
  </si>
  <si>
    <t>- Lime Solution Tank 및 Feed Tank 청소</t>
    <phoneticPr fontId="1" type="noConversion"/>
  </si>
  <si>
    <t>- 추석명절 연휴기간 운영계획(비상대기, 원부재료, Ash)</t>
    <phoneticPr fontId="1" type="noConversion"/>
  </si>
  <si>
    <t>9/18</t>
    <phoneticPr fontId="1" type="noConversion"/>
  </si>
  <si>
    <t>- PSM 절차서 적합성 사전 검토</t>
    <phoneticPr fontId="1" type="noConversion"/>
  </si>
  <si>
    <t>12/23 ?</t>
    <phoneticPr fontId="1" type="noConversion"/>
  </si>
  <si>
    <t>-2026년 Bio, 유기성고형연료 사용량 계획</t>
    <phoneticPr fontId="1" type="noConversion"/>
  </si>
  <si>
    <t>- 설명절연휴기간 운영계획(원부재료, Ash, 근무자)</t>
    <phoneticPr fontId="1" type="noConversion"/>
  </si>
  <si>
    <t>2/11</t>
    <phoneticPr fontId="1" type="noConversion"/>
  </si>
  <si>
    <t>- OH공사 정지시 주요 Motor 정지일정 검토(w전기,기계)(2주전)</t>
    <phoneticPr fontId="1" type="noConversion"/>
  </si>
  <si>
    <t>4/16</t>
    <phoneticPr fontId="1" type="noConversion"/>
  </si>
  <si>
    <t>- 건물바닥(본관 HVAC, Air Comp., MCWP Room, Aux. Boiler) 고압세척</t>
    <phoneticPr fontId="1" type="noConversion"/>
  </si>
  <si>
    <t>- 추석연휴 전후 열원시설 특별안전점검(w.안전팀)</t>
    <phoneticPr fontId="1" type="noConversion"/>
  </si>
  <si>
    <t>9/23, 9/29</t>
    <phoneticPr fontId="1" type="noConversion"/>
  </si>
  <si>
    <t>- Coal 하역계통 수증기, 상하역계통 Duct Drain 관리</t>
    <phoneticPr fontId="1" type="noConversion"/>
  </si>
  <si>
    <t>12/1</t>
    <phoneticPr fontId="1" type="noConversion"/>
  </si>
  <si>
    <t>- 25년 통합비상모의훈련 계획, 직무교육계획 보고</t>
    <phoneticPr fontId="1" type="noConversion"/>
  </si>
  <si>
    <t>1/20</t>
    <phoneticPr fontId="1" type="noConversion"/>
  </si>
  <si>
    <t>- 설연휴 전후 열원시설 특별안전점검(w.안전팀)</t>
    <phoneticPr fontId="1" type="noConversion"/>
  </si>
  <si>
    <t>2/13, 2/19</t>
    <phoneticPr fontId="1" type="noConversion"/>
  </si>
  <si>
    <t>- OH공사기간 운전파트 인력운용계획(3주전)</t>
    <phoneticPr fontId="1" type="noConversion"/>
  </si>
  <si>
    <t>- OH: BLR Air Comp.정지,습분등유지관리</t>
    <phoneticPr fontId="1" type="noConversion"/>
  </si>
  <si>
    <t xml:space="preserve">- 동절기 Coal Silo 배출탄 동결 예방 운전(RRDM 일일 교차 운전) </t>
    <phoneticPr fontId="1" type="noConversion"/>
  </si>
  <si>
    <t>- 2026년 KPI초안, Action Plan 수립</t>
    <phoneticPr fontId="1" type="noConversion"/>
  </si>
  <si>
    <t>- 2026년 운전 Test 계획 수립</t>
    <phoneticPr fontId="1" type="noConversion"/>
  </si>
  <si>
    <t>'- OH공사시 정지중 작업사항 List-up 1차(정비부서 제공, 3~4개월전)</t>
    <phoneticPr fontId="1" type="noConversion"/>
  </si>
  <si>
    <t>1/12</t>
    <phoneticPr fontId="1" type="noConversion"/>
  </si>
  <si>
    <t>`</t>
    <phoneticPr fontId="1" type="noConversion"/>
  </si>
  <si>
    <t>- 2026년 운전 Test 계획 초안 검토</t>
    <phoneticPr fontId="1" type="noConversion"/>
  </si>
  <si>
    <t>- 주간 원부재료, Ash 배차 소요계획(to.운영지원팀)</t>
    <phoneticPr fontId="1" type="noConversion"/>
  </si>
  <si>
    <t>매주목</t>
    <phoneticPr fontId="1" type="noConversion"/>
  </si>
  <si>
    <t>- 주간 원부재료, Ash 배차 소요계획(to.운영지원팀)</t>
    <phoneticPr fontId="1" type="noConversion"/>
  </si>
  <si>
    <t>- 주간 운영실적(to.경영관리팀)</t>
    <phoneticPr fontId="1" type="noConversion"/>
  </si>
  <si>
    <t>매주화</t>
    <phoneticPr fontId="1" type="noConversion"/>
  </si>
  <si>
    <t>- 주간 운영실적(to.경영관리팀)</t>
    <phoneticPr fontId="1" type="noConversion"/>
  </si>
  <si>
    <t>월초 W.D 5일이내</t>
    <phoneticPr fontId="1" type="noConversion"/>
  </si>
  <si>
    <t>- 전월 설비운영현황(to.재무회계,cc운영지원)</t>
    <phoneticPr fontId="1" type="noConversion"/>
  </si>
  <si>
    <t>월초 W.D3일이내</t>
    <phoneticPr fontId="1" type="noConversion"/>
  </si>
  <si>
    <t>- 전월 설비운영현황(to.재무회계,cc운영지원)</t>
    <phoneticPr fontId="1" type="noConversion"/>
  </si>
  <si>
    <t>- 전월 연료사용일지&amp;우드칩사용실적(to.환경팀)</t>
    <phoneticPr fontId="1" type="noConversion"/>
  </si>
  <si>
    <t>- 전월 연료사용일지 &amp; 우드칩 사용실적(to.환경팀)</t>
    <phoneticPr fontId="1" type="noConversion"/>
  </si>
  <si>
    <t>- 전월 연료사용일지 &amp; 우드칩 사용실적(to.환경팀)</t>
    <phoneticPr fontId="1" type="noConversion"/>
  </si>
  <si>
    <t>- 월간 REC 발급용 발전운영실적 &amp; 연료관리대장(to.경영관리팀)</t>
    <phoneticPr fontId="1" type="noConversion"/>
  </si>
  <si>
    <t>매월 25일이내(전후)</t>
    <phoneticPr fontId="1" type="noConversion"/>
  </si>
  <si>
    <t>- 월간 REC 발급용 발전운영실적 &amp; 연료관리대장(to.경영관리팀)</t>
    <phoneticPr fontId="1" type="noConversion"/>
  </si>
  <si>
    <t>- 전월 수전요금 검토 및 품의</t>
    <phoneticPr fontId="1" type="noConversion"/>
  </si>
  <si>
    <t>월초(WD7차)</t>
    <phoneticPr fontId="1" type="noConversion"/>
  </si>
  <si>
    <t>- 전월 수전요금 검토 및 품의</t>
    <phoneticPr fontId="1" type="noConversion"/>
  </si>
  <si>
    <t>- 당월 연료운전팀 용역기성 검토,보고</t>
    <phoneticPr fontId="1" type="noConversion"/>
  </si>
  <si>
    <t>매월26~29</t>
    <phoneticPr fontId="1" type="noConversion"/>
  </si>
  <si>
    <t>- 당월 연료운전팀 용역기성 실적검토,보고</t>
    <phoneticPr fontId="1" type="noConversion"/>
  </si>
  <si>
    <t>- 당월 연료운전팀 용역기성 실적검토,보고</t>
    <phoneticPr fontId="1" type="noConversion"/>
  </si>
  <si>
    <t>- EP 운영정보 일일현황(발전, 효율) 확인</t>
    <phoneticPr fontId="1" type="noConversion"/>
  </si>
  <si>
    <t>수시</t>
    <phoneticPr fontId="1" type="noConversion"/>
  </si>
  <si>
    <t>- EP 운영정보 일일현황(발전, 효율) 확인</t>
    <phoneticPr fontId="1" type="noConversion"/>
  </si>
  <si>
    <t>- Fly Ash 미연탄소분 검토,관리(주단위 Trend)</t>
    <phoneticPr fontId="1" type="noConversion"/>
  </si>
  <si>
    <t>매월10일전후(전월4주실적+계획)</t>
    <phoneticPr fontId="1" type="noConversion"/>
  </si>
  <si>
    <t>- Fly Ash 미연탄소분 검토,관리(주단위 Trend)</t>
    <phoneticPr fontId="1" type="noConversion"/>
  </si>
  <si>
    <t>- 전월 교대근무 정산자료(휴가)(To.경관)</t>
    <phoneticPr fontId="1" type="noConversion"/>
  </si>
  <si>
    <t>월초 WD 1일</t>
    <phoneticPr fontId="1" type="noConversion"/>
  </si>
  <si>
    <t>- 전월 교대근무 정산자료(휴가)(To.경관)</t>
    <phoneticPr fontId="1" type="noConversion"/>
  </si>
  <si>
    <t>- 비상대응 모의훈련(매월, 파트별)</t>
    <phoneticPr fontId="1" type="noConversion"/>
  </si>
  <si>
    <t>- 비상대응 모의훈련(매월, 파트별)</t>
    <phoneticPr fontId="1" type="noConversion"/>
  </si>
  <si>
    <t>- BLR동 거미줄 제거, 터빈동 Floor청소</t>
    <phoneticPr fontId="1" type="noConversion"/>
  </si>
  <si>
    <t>2주차(금~일)</t>
    <phoneticPr fontId="1" type="noConversion"/>
  </si>
  <si>
    <t>- BLR동 거미줄 제거, 터빈동 Floor청소</t>
    <phoneticPr fontId="1" type="noConversion"/>
  </si>
  <si>
    <t>- 1/4분기 통합비상모의훈련(3P, 비상1)</t>
    <phoneticPr fontId="1" type="noConversion"/>
  </si>
  <si>
    <t>2/24(화)</t>
    <phoneticPr fontId="1" type="noConversion"/>
  </si>
  <si>
    <t>- 건물 SUH 정지, 동결방지용 백열등 소등</t>
    <phoneticPr fontId="1" type="noConversion"/>
  </si>
  <si>
    <t>3/20</t>
    <phoneticPr fontId="1" type="noConversion"/>
  </si>
  <si>
    <t>- 보조보일러 4호기 가동전 점검
  (OH공사기간 기동시)(3일전)</t>
    <phoneticPr fontId="1" type="noConversion"/>
  </si>
  <si>
    <t>4/29</t>
    <phoneticPr fontId="1" type="noConversion"/>
  </si>
  <si>
    <t>- 각종 Valve, Damper류 작동 Test(OH공사 협조운전)</t>
    <phoneticPr fontId="1" type="noConversion"/>
  </si>
  <si>
    <t>5/3</t>
    <phoneticPr fontId="1" type="noConversion"/>
  </si>
  <si>
    <t>- 2/4분기 통합비상모의훈련(4P, 비상2)</t>
    <phoneticPr fontId="1" type="noConversion"/>
  </si>
  <si>
    <t>6/11(목)</t>
    <phoneticPr fontId="1" type="noConversion"/>
  </si>
  <si>
    <t>- 3/4분기 통합비상모의훈련(1P, 비상4)</t>
    <phoneticPr fontId="1" type="noConversion"/>
  </si>
  <si>
    <t>8/21(금)</t>
    <phoneticPr fontId="1" type="noConversion"/>
  </si>
  <si>
    <t>'- 고압가스(CO2) 방출 Test(분기)</t>
  </si>
  <si>
    <t>- 동절기 대비 동파방지 점검(천막,보온,Heat Tracing)</t>
    <phoneticPr fontId="1" type="noConversion"/>
  </si>
  <si>
    <t>- 4/4분기 통합비상모의훈련(2P, 비상3)</t>
    <phoneticPr fontId="1" type="noConversion"/>
  </si>
  <si>
    <t>11/13(금)</t>
    <phoneticPr fontId="1" type="noConversion"/>
  </si>
  <si>
    <t>- 보조보일러 Eco. Tube M/H 개방(동파방지)</t>
    <phoneticPr fontId="1" type="noConversion"/>
  </si>
  <si>
    <t>- 옥외 펌프류(정지설비) 및 Eye Washer 동결방지 Drain Close</t>
    <phoneticPr fontId="1" type="noConversion"/>
  </si>
  <si>
    <t>4/11</t>
    <phoneticPr fontId="1" type="noConversion"/>
  </si>
  <si>
    <t>- OH공사 관련 Tag 발행 및 회수</t>
    <phoneticPr fontId="1" type="noConversion"/>
  </si>
  <si>
    <t>OH기간</t>
    <phoneticPr fontId="1" type="noConversion"/>
  </si>
  <si>
    <t>- 장마철 대비 침수 예상구역 등 점검</t>
    <phoneticPr fontId="1" type="noConversion"/>
  </si>
  <si>
    <t>6/2</t>
    <phoneticPr fontId="1" type="noConversion"/>
  </si>
  <si>
    <t>- 동절기 대비 HVAC설비 시운전 Test 점검</t>
    <phoneticPr fontId="1" type="noConversion"/>
  </si>
  <si>
    <t>10/25</t>
    <phoneticPr fontId="1" type="noConversion"/>
  </si>
  <si>
    <t>- 냉각탑 백연 최소화 운전관리(시작)</t>
    <phoneticPr fontId="1" type="noConversion"/>
  </si>
  <si>
    <t>11/1</t>
    <phoneticPr fontId="1" type="noConversion"/>
  </si>
  <si>
    <t>- Service Air 계통 Drain(동절기 1,3주 격주)</t>
    <phoneticPr fontId="1" type="noConversion"/>
  </si>
  <si>
    <t>12/1</t>
    <phoneticPr fontId="1" type="noConversion"/>
  </si>
  <si>
    <t>- SDA Lime Slurry Pump Room 전기히트 철거</t>
    <phoneticPr fontId="1" type="noConversion"/>
  </si>
  <si>
    <t>3/10</t>
    <phoneticPr fontId="1" type="noConversion"/>
  </si>
  <si>
    <t>- 주보일러 가동전 점검</t>
    <phoneticPr fontId="1" type="noConversion"/>
  </si>
  <si>
    <t>5/27?</t>
    <phoneticPr fontId="1" type="noConversion"/>
  </si>
  <si>
    <t>- 옥외 펌프류 및 Atomizer Room 동결예방 백열등 점등(외기온도 고려)</t>
    <phoneticPr fontId="1" type="noConversion"/>
  </si>
  <si>
    <t>11/16</t>
    <phoneticPr fontId="1" type="noConversion"/>
  </si>
  <si>
    <t>- 옥외 펌프류(정지설비) 및 Eye Washer 동결방지 Drain 실시</t>
    <phoneticPr fontId="1" type="noConversion"/>
  </si>
  <si>
    <t>- 보조보일러 Fin Fan Cooler 천막 철거, M/H Close</t>
    <phoneticPr fontId="1" type="noConversion"/>
  </si>
  <si>
    <t>- Inter-lock Test(w.전기제어팀, PSM관련)</t>
    <phoneticPr fontId="1" type="noConversion"/>
  </si>
  <si>
    <t>- 건물 SUH 가동(11월말~12월초 기온 고려)</t>
    <phoneticPr fontId="1" type="noConversion"/>
  </si>
  <si>
    <t>* "설비점검 및 회전기기 교체운전(일일,주간,월간,분기)"은별도</t>
    <phoneticPr fontId="1" type="noConversion"/>
  </si>
  <si>
    <t>* "설비점검 및 회전기기 교체운전(일일,주간,월간,분기)"은별도</t>
    <phoneticPr fontId="1" type="noConversion"/>
  </si>
  <si>
    <t>안전,
인허가</t>
    <phoneticPr fontId="1" type="noConversion"/>
  </si>
  <si>
    <t>- 정기 안전보건교육(안전팀자료, 파트별)</t>
    <phoneticPr fontId="1" type="noConversion"/>
  </si>
  <si>
    <t>25일전후(목)</t>
    <phoneticPr fontId="1" type="noConversion"/>
  </si>
  <si>
    <t>- 정기 안전보건교육(안전팀자료, 파트별)</t>
    <phoneticPr fontId="1" type="noConversion"/>
  </si>
  <si>
    <t>- '전년도 안전작업허가서 회수,확인,보관</t>
    <phoneticPr fontId="1" type="noConversion"/>
  </si>
  <si>
    <t>(1월지연시)</t>
    <phoneticPr fontId="1" type="noConversion"/>
  </si>
  <si>
    <t>- Tag 발행 및 회수 관리 현황 점검(분기별)</t>
    <phoneticPr fontId="1" type="noConversion"/>
  </si>
  <si>
    <t>- Tag 발행 및 회수 관리 현황 점검(분기별)</t>
    <phoneticPr fontId="1" type="noConversion"/>
  </si>
  <si>
    <t>4주차</t>
    <phoneticPr fontId="1" type="noConversion"/>
  </si>
  <si>
    <t>4주차</t>
    <phoneticPr fontId="1" type="noConversion"/>
  </si>
  <si>
    <t>기타</t>
    <phoneticPr fontId="1" type="noConversion"/>
  </si>
  <si>
    <t>- 유연탄 항차 탄종 연소성(사용 적정성) 분석 [조달부서 요청시]</t>
    <phoneticPr fontId="1" type="noConversion"/>
  </si>
  <si>
    <t>설비운영팀 설비점검 및 회전기기 교체운전 List 및 주기</t>
    <phoneticPr fontId="1" type="noConversion"/>
  </si>
  <si>
    <t>설비운영팀('26.01.20)</t>
    <phoneticPr fontId="1" type="noConversion"/>
  </si>
  <si>
    <r>
      <rPr>
        <b/>
        <sz val="12"/>
        <color theme="1"/>
        <rFont val="맑은 고딕"/>
        <family val="3"/>
        <charset val="129"/>
      </rPr>
      <t>▣</t>
    </r>
    <r>
      <rPr>
        <b/>
        <sz val="12"/>
        <color theme="1"/>
        <rFont val="맑은 고딕"/>
        <family val="3"/>
        <charset val="129"/>
        <scheme val="minor"/>
      </rPr>
      <t xml:space="preserve"> 주설비 운전분야 설비점검</t>
    </r>
    <phoneticPr fontId="1" type="noConversion"/>
  </si>
  <si>
    <t>점검 주기</t>
  </si>
  <si>
    <t>Shift</t>
  </si>
  <si>
    <t>점검사항</t>
  </si>
  <si>
    <t>담당</t>
  </si>
  <si>
    <t xml:space="preserve">결재 </t>
  </si>
  <si>
    <t>공유</t>
  </si>
  <si>
    <t>D/S</t>
  </si>
  <si>
    <t>N/S</t>
  </si>
  <si>
    <t>Position</t>
  </si>
  <si>
    <t>일간</t>
  </si>
  <si>
    <t>매일</t>
  </si>
  <si>
    <t>●</t>
  </si>
  <si>
    <t>교대근무 업무일지</t>
    <phoneticPr fontId="1" type="noConversion"/>
  </si>
  <si>
    <t>CCR/Local</t>
    <phoneticPr fontId="1" type="noConversion"/>
  </si>
  <si>
    <t>파트장</t>
    <phoneticPr fontId="1" type="noConversion"/>
  </si>
  <si>
    <t>앱 공유</t>
    <phoneticPr fontId="1" type="noConversion"/>
  </si>
  <si>
    <t>모바일 일지</t>
    <phoneticPr fontId="1" type="noConversion"/>
  </si>
  <si>
    <t>야간 순찰 점검 일지</t>
    <phoneticPr fontId="1" type="noConversion"/>
  </si>
  <si>
    <t>Local</t>
  </si>
  <si>
    <t>팀장</t>
  </si>
  <si>
    <t>-</t>
  </si>
  <si>
    <t>동파방지 점검일지(동결, 동파 취약개소)</t>
    <phoneticPr fontId="1" type="noConversion"/>
  </si>
  <si>
    <t>최저온도(-3도 이하시)</t>
  </si>
  <si>
    <t>FBHE, Seal Pot Blower V-Belt 상태 점검</t>
    <phoneticPr fontId="1" type="noConversion"/>
  </si>
  <si>
    <t>현장 V-Belt 교체 현황판 관리</t>
  </si>
  <si>
    <t>회전기기 Suction Filter 상태 점검</t>
    <phoneticPr fontId="1" type="noConversion"/>
  </si>
  <si>
    <t>6.9kV Pump Suction Strainer DP 점검</t>
    <phoneticPr fontId="1" type="noConversion"/>
  </si>
  <si>
    <t>CCR/Local</t>
  </si>
  <si>
    <t>BFP, MCWP, ACWP, COP, CCWP</t>
  </si>
  <si>
    <t xml:space="preserve"> Day Silo(Bio, Coal) CO 수치 점검 (CO₂ Tank Level 점검)</t>
    <phoneticPr fontId="1" type="noConversion"/>
  </si>
  <si>
    <t>대기오염방지시설 DP 점검 및 운전정보시스템 입력</t>
  </si>
  <si>
    <t>Bio Hopper Bin 내부 점검 및 청소</t>
  </si>
  <si>
    <t>주보일러 연소실 Bed Ash 배출(4회/일)</t>
    <phoneticPr fontId="1" type="noConversion"/>
  </si>
  <si>
    <t>배출량 2톤/회.호기, 필요시 추가</t>
    <phoneticPr fontId="1" type="noConversion"/>
  </si>
  <si>
    <t>Boiler Air Comp. #B&amp;C 무부하 30분 운전</t>
    <phoneticPr fontId="1" type="noConversion"/>
  </si>
  <si>
    <t>매일(주중)</t>
  </si>
  <si>
    <t>고압가스(CO2) 일일 안전점검</t>
  </si>
  <si>
    <t>(안전팀장)</t>
    <phoneticPr fontId="1" type="noConversion"/>
  </si>
  <si>
    <t>(관리원: 안전팀 소방담당자)</t>
    <phoneticPr fontId="1" type="noConversion"/>
  </si>
  <si>
    <t>주간</t>
  </si>
  <si>
    <t>매주(일)</t>
  </si>
  <si>
    <t>LNG System 점검</t>
    <phoneticPr fontId="1" type="noConversion"/>
  </si>
  <si>
    <t>TM회의</t>
  </si>
  <si>
    <t xml:space="preserve"> 검침기 이용</t>
  </si>
  <si>
    <t>보일러 Soot Blower 점검</t>
    <phoneticPr fontId="1" type="noConversion"/>
  </si>
  <si>
    <t>파트장</t>
  </si>
  <si>
    <t>매주(토)</t>
  </si>
  <si>
    <t>Aux BLR Air-Comp 기동 Test
회전기기 Hand Turning</t>
    <phoneticPr fontId="1" type="noConversion"/>
  </si>
  <si>
    <t>매주(화,금)</t>
  </si>
  <si>
    <t>Bed Ash Vibrating Screen 청소</t>
    <phoneticPr fontId="1" type="noConversion"/>
  </si>
  <si>
    <t>막힘 상태에 따라 수시 실시</t>
    <phoneticPr fontId="1" type="noConversion"/>
  </si>
  <si>
    <t>매주(목)</t>
    <phoneticPr fontId="1" type="noConversion"/>
  </si>
  <si>
    <t>Lime Slurry Density Meter Flushing, Lime Slurry Feed Tank 상부 Screen 이물질청소</t>
    <phoneticPr fontId="1" type="noConversion"/>
  </si>
  <si>
    <t>매주(월)</t>
  </si>
  <si>
    <t>Bed Ash Bucket Elevator 하부 점검(청소)</t>
    <phoneticPr fontId="1" type="noConversion"/>
  </si>
  <si>
    <t>BE601: 설비상태에 따라 매일</t>
  </si>
  <si>
    <t>매주(화)</t>
    <phoneticPr fontId="1" type="noConversion"/>
  </si>
  <si>
    <t>Bag Filter Off-Line Mode 진행</t>
    <phoneticPr fontId="1" type="noConversion"/>
  </si>
  <si>
    <t>CCR</t>
  </si>
  <si>
    <t>매주(월)</t>
    <phoneticPr fontId="1" type="noConversion"/>
  </si>
  <si>
    <t xml:space="preserve">Fly Ash Sampling (N조=&gt; 화요일 02시경) </t>
    <phoneticPr fontId="1" type="noConversion"/>
  </si>
  <si>
    <t>화요일 02시 Sampling 실시</t>
    <phoneticPr fontId="1" type="noConversion"/>
  </si>
  <si>
    <r>
      <t>SDA Hopper Ash 배출(</t>
    </r>
    <r>
      <rPr>
        <sz val="8"/>
        <color rgb="FF0000FF"/>
        <rFont val="맑은 고딕"/>
        <family val="3"/>
        <charset val="129"/>
        <scheme val="minor"/>
      </rPr>
      <t>톤백 2개/회.호기</t>
    </r>
    <r>
      <rPr>
        <sz val="8"/>
        <color theme="1"/>
        <rFont val="맑은 고딕"/>
        <family val="3"/>
        <charset val="129"/>
        <scheme val="minor"/>
      </rPr>
      <t>)</t>
    </r>
    <phoneticPr fontId="1" type="noConversion"/>
  </si>
  <si>
    <t>매주(월,목)</t>
    <phoneticPr fontId="1" type="noConversion"/>
  </si>
  <si>
    <t>SDA Lime Slurry Return Line 점검</t>
  </si>
  <si>
    <t>팀 카톡방</t>
    <phoneticPr fontId="1" type="noConversion"/>
  </si>
  <si>
    <t>1,2호기 유기성고형연료 Silo Vent Line Duct 유속 측정</t>
    <phoneticPr fontId="1" type="noConversion"/>
  </si>
  <si>
    <t>냉각탑 Damper 작동 Test</t>
  </si>
  <si>
    <t>동절기는 상황에 따라 시행</t>
  </si>
  <si>
    <t>월간</t>
  </si>
  <si>
    <t>매월 4일</t>
    <phoneticPr fontId="1" type="noConversion"/>
  </si>
  <si>
    <t>소화기 점검</t>
    <phoneticPr fontId="1" type="noConversion"/>
  </si>
  <si>
    <t>Local 전원</t>
  </si>
  <si>
    <t>셋째주(일)</t>
  </si>
  <si>
    <t>비상발전기 기동 점검</t>
    <phoneticPr fontId="1" type="noConversion"/>
  </si>
  <si>
    <t>셋째주(일)</t>
    <phoneticPr fontId="1" type="noConversion"/>
  </si>
  <si>
    <t>주보일러 회전기기 교체 점검</t>
    <phoneticPr fontId="1" type="noConversion"/>
  </si>
  <si>
    <t>짝수월 넷째주(일)</t>
    <phoneticPr fontId="1" type="noConversion"/>
  </si>
  <si>
    <t>터빈/발전기 Oil&amp;GSC계통 회전기기 교체운전 점검</t>
    <phoneticPr fontId="1" type="noConversion"/>
  </si>
  <si>
    <t>넷째주(일)</t>
    <phoneticPr fontId="1" type="noConversion"/>
  </si>
  <si>
    <t>터빈/발전기 BOP계통, 보조보일러, HVAC및급탕 Sys. 회전기기 교체운전 점검</t>
    <phoneticPr fontId="1" type="noConversion"/>
  </si>
  <si>
    <t>매월 2,4주
(금)</t>
    <phoneticPr fontId="1" type="noConversion"/>
  </si>
  <si>
    <t>SDA Atomizer 가동 시간(Wheel 교체주기) 점검</t>
    <phoneticPr fontId="1" type="noConversion"/>
  </si>
  <si>
    <t>둘째주 (월)</t>
    <phoneticPr fontId="12" type="noConversion"/>
  </si>
  <si>
    <t>Atomizer Wheel점검 및 Support Cone부위 Cleaning TM발행</t>
    <phoneticPr fontId="12" type="noConversion"/>
  </si>
  <si>
    <t>매월(Local운전원: TM작업 전후 사진 촬영 공유 및 기록관리)</t>
    <phoneticPr fontId="1" type="noConversion"/>
  </si>
  <si>
    <t>매월 2,4주 (금)</t>
    <phoneticPr fontId="1" type="noConversion"/>
  </si>
  <si>
    <t>Fly Ash Silo, Lime Silo 상부 Vent Filter/Fan 점검</t>
  </si>
  <si>
    <t>Steam Unit Heater(보일러,터빈 etc) 점검</t>
  </si>
  <si>
    <t>동절기 Unit Heater 운전시</t>
  </si>
  <si>
    <t>매월1,3주 (토)</t>
    <phoneticPr fontId="1" type="noConversion"/>
  </si>
  <si>
    <t>동절기 Service Air Line 응축수 Drain</t>
  </si>
  <si>
    <t>동절기(12~3월)</t>
  </si>
  <si>
    <t>분기</t>
  </si>
  <si>
    <r>
      <t>매분기</t>
    </r>
    <r>
      <rPr>
        <sz val="6"/>
        <color rgb="FFFF0000"/>
        <rFont val="맑은 고딕"/>
        <family val="3"/>
        <charset val="129"/>
        <scheme val="minor"/>
      </rPr>
      <t>(3.6.9.12m/3w수)</t>
    </r>
    <phoneticPr fontId="1" type="noConversion"/>
  </si>
  <si>
    <t>CO2 구역별 방출 Test</t>
  </si>
  <si>
    <t>안전관리자 입회</t>
    <phoneticPr fontId="1" type="noConversion"/>
  </si>
  <si>
    <t>기타</t>
  </si>
  <si>
    <t>매월</t>
  </si>
  <si>
    <t>직무교육</t>
    <phoneticPr fontId="1" type="noConversion"/>
  </si>
  <si>
    <t>비상모의훈련</t>
    <phoneticPr fontId="1" type="noConversion"/>
  </si>
  <si>
    <t>분기별 통합모의훈련</t>
    <phoneticPr fontId="1" type="noConversion"/>
  </si>
  <si>
    <t>매월 3주(금)</t>
    <phoneticPr fontId="1" type="noConversion"/>
  </si>
  <si>
    <t>Bio Storage silo 내부 육안 점검</t>
    <phoneticPr fontId="1" type="noConversion"/>
  </si>
  <si>
    <t>효율파트</t>
  </si>
  <si>
    <t>상부 Manhole Open 점검</t>
  </si>
  <si>
    <t xml:space="preserve">수시 </t>
  </si>
  <si>
    <t>현장 설비 점검</t>
    <phoneticPr fontId="1" type="noConversion"/>
  </si>
  <si>
    <t>* 월간 점검기준 첫주는 1일이 금요일 포함시 첫주 적용</t>
    <phoneticPr fontId="1" type="noConversion"/>
  </si>
  <si>
    <r>
      <rPr>
        <b/>
        <sz val="12"/>
        <color theme="1"/>
        <rFont val="맑은 고딕"/>
        <family val="3"/>
        <charset val="129"/>
      </rPr>
      <t>▣</t>
    </r>
    <r>
      <rPr>
        <b/>
        <sz val="12"/>
        <color theme="1"/>
        <rFont val="맑은 고딕"/>
        <family val="3"/>
        <charset val="129"/>
        <scheme val="minor"/>
      </rPr>
      <t xml:space="preserve"> 연료설비 운전분야 설비점검</t>
    </r>
    <phoneticPr fontId="1" type="noConversion"/>
  </si>
  <si>
    <t>(2025.2.5)</t>
    <phoneticPr fontId="1" type="noConversion"/>
  </si>
  <si>
    <t>점검 사항</t>
  </si>
  <si>
    <t>결재</t>
  </si>
  <si>
    <t>발주처</t>
  </si>
  <si>
    <t>N/S</t>
    <phoneticPr fontId="1" type="noConversion"/>
  </si>
  <si>
    <t>(자이E)</t>
  </si>
  <si>
    <t>보고(공유)</t>
  </si>
  <si>
    <t>　매일</t>
  </si>
  <si>
    <t>●</t>
    <phoneticPr fontId="1" type="noConversion"/>
  </si>
  <si>
    <t>연료설비 운전일지(운전현황)</t>
    <phoneticPr fontId="1" type="noConversion"/>
  </si>
  <si>
    <t>제어원</t>
  </si>
  <si>
    <t>소장</t>
    <phoneticPr fontId="1" type="noConversion"/>
  </si>
  <si>
    <t>이메일</t>
    <phoneticPr fontId="1" type="noConversion"/>
  </si>
  <si>
    <t>TBM 일지</t>
    <phoneticPr fontId="1" type="noConversion"/>
  </si>
  <si>
    <t>제어원</t>
    <phoneticPr fontId="1" type="noConversion"/>
  </si>
  <si>
    <t>팀장</t>
    <phoneticPr fontId="1" type="noConversion"/>
  </si>
  <si>
    <t>Coal/Bio_SRF(상하역),
Fly Ash Logsheet 작성</t>
    <phoneticPr fontId="1" type="noConversion"/>
  </si>
  <si>
    <t>현장운전원</t>
  </si>
  <si>
    <t>특별청소일지</t>
  </si>
  <si>
    <t>　매일</t>
    <phoneticPr fontId="1" type="noConversion"/>
  </si>
  <si>
    <t>BE-201/202 Chute Plugging S/W 점검</t>
    <phoneticPr fontId="1" type="noConversion"/>
  </si>
  <si>
    <t>-</t>
    <phoneticPr fontId="1" type="noConversion"/>
  </si>
  <si>
    <t>　매주(일)</t>
  </si>
  <si>
    <t>Chute 정기 점검
(착탄 발생, Liner 점검)</t>
    <phoneticPr fontId="1" type="noConversion"/>
  </si>
  <si>
    <t>특이사항</t>
    <phoneticPr fontId="1" type="noConversion"/>
  </si>
  <si>
    <t>#A,B 격주 진행</t>
  </si>
  <si>
    <t>　매주(수,토)</t>
  </si>
  <si>
    <t>V-Screen 점검</t>
  </si>
  <si>
    <t>이메일</t>
  </si>
  <si>
    <t>(2회/주)</t>
    <phoneticPr fontId="1" type="noConversion"/>
  </si>
  <si>
    <t>　매주(토~일)</t>
    <phoneticPr fontId="1" type="noConversion"/>
  </si>
  <si>
    <t>BE-201/202 Belt 사행 및 Head/Tail(Drum) 점검</t>
  </si>
  <si>
    <t>-</t>
    <phoneticPr fontId="1" type="noConversion"/>
  </si>
  <si>
    <t>카톡방</t>
    <phoneticPr fontId="1" type="noConversion"/>
  </si>
  <si>
    <t>(1회/주)</t>
    <phoneticPr fontId="1" type="noConversion"/>
  </si>
  <si>
    <t>매월 2,4주
(화)</t>
    <phoneticPr fontId="1" type="noConversion"/>
  </si>
  <si>
    <t>RRDM 점검</t>
  </si>
  <si>
    <t>매월 1,3주
(금)</t>
    <phoneticPr fontId="1" type="noConversion"/>
  </si>
  <si>
    <t>◐</t>
  </si>
  <si>
    <t>◑</t>
  </si>
  <si>
    <t>Bag Filter 점검(Coal,Bio)</t>
  </si>
  <si>
    <t>D/S 하역
N/S 상탄</t>
    <phoneticPr fontId="1" type="noConversion"/>
  </si>
  <si>
    <t>매월 2,4주
(토~일)</t>
    <phoneticPr fontId="1" type="noConversion"/>
  </si>
  <si>
    <t>N2 설비 점검</t>
  </si>
  <si>
    <t>D/S 토요일, N/S 일요일
(2회/월)</t>
    <phoneticPr fontId="1" type="noConversion"/>
  </si>
  <si>
    <t>셋째주 (일)</t>
  </si>
  <si>
    <t>Mist Spray System 점검</t>
  </si>
  <si>
    <t>Coal 매주(8월 한정)</t>
    <phoneticPr fontId="1" type="noConversion"/>
  </si>
  <si>
    <t>　셋째주 (일)</t>
  </si>
  <si>
    <t>TT-01,05 Vent Fan Filter Cleaning / 교체</t>
  </si>
  <si>
    <t>상태에 따라 수시</t>
  </si>
  <si>
    <t>　매월 4일</t>
  </si>
  <si>
    <t>소화기,소화전 점검</t>
  </si>
  <si>
    <t>격월 첫째주
(월~토)</t>
    <phoneticPr fontId="1" type="noConversion"/>
  </si>
  <si>
    <t>연료이송설비(Coal/Bio)
Grease 충유</t>
    <phoneticPr fontId="1" type="noConversion"/>
  </si>
  <si>
    <t>기계팀관리
(1회/2개월)</t>
    <phoneticPr fontId="1" type="noConversion"/>
  </si>
  <si>
    <t>동절기
(11월~2월)</t>
    <phoneticPr fontId="1" type="noConversion"/>
  </si>
  <si>
    <t>Heat Tracing Line 점검</t>
  </si>
  <si>
    <t>특이사항</t>
    <phoneticPr fontId="1" type="noConversion"/>
  </si>
  <si>
    <t>효율</t>
    <phoneticPr fontId="1" type="noConversion"/>
  </si>
  <si>
    <t>월간운영실적 매월 1일차에 작성완료하여 보고 가능토록 업무개선 요망. 필요시 가결산자료 추정하여 적용 등</t>
    <phoneticPr fontId="1" type="noConversion"/>
  </si>
  <si>
    <r>
      <t xml:space="preserve">2026년 대기오염물질 총량 관련 Sox는 17.5ppm으로 결정되어, </t>
    </r>
    <r>
      <rPr>
        <u/>
        <sz val="10"/>
        <color rgb="FF0000FF"/>
        <rFont val="맑은 고딕"/>
        <family val="3"/>
        <charset val="129"/>
        <scheme val="minor"/>
      </rPr>
      <t>주보일러 Stack Sox 평균 배출농도 15ppm(6)으로 운전관리 요망</t>
    </r>
    <phoneticPr fontId="1" type="noConversion"/>
  </si>
  <si>
    <t>효율업무3</t>
    <phoneticPr fontId="1" type="noConversion"/>
  </si>
  <si>
    <t>안전팀/최부식</t>
    <phoneticPr fontId="1" type="noConversion"/>
  </si>
  <si>
    <t>효율+운전</t>
    <phoneticPr fontId="1" type="noConversion"/>
  </si>
  <si>
    <t>바이오 혼소량 증대에 따른 배가스 CO 농도 감소위한 운전조건 Test 가능한지? =&gt; (설비운영팀) 배가스계통에 있는 CO 계측기 정상화 되어야 운전조건에 따른 CO 농도변화 Test 가능.  제어팀에 CO 계측기 정상화 가능성 우선 요청 예정</t>
    <phoneticPr fontId="1" type="noConversion"/>
  </si>
  <si>
    <t>'25.10.28(부문장님)</t>
    <phoneticPr fontId="1" type="noConversion"/>
  </si>
  <si>
    <t>효율+운전</t>
    <phoneticPr fontId="1" type="noConversion"/>
  </si>
  <si>
    <t>'25.11.07(대표님)</t>
    <phoneticPr fontId="1" type="noConversion"/>
  </si>
  <si>
    <t>송관석,박태준+운전</t>
    <phoneticPr fontId="1" type="noConversion"/>
  </si>
  <si>
    <t>효율</t>
    <phoneticPr fontId="1" type="noConversion"/>
  </si>
  <si>
    <t>'25.11.07(부문장님)</t>
    <phoneticPr fontId="1" type="noConversion"/>
  </si>
  <si>
    <t>송관석</t>
    <phoneticPr fontId="1" type="noConversion"/>
  </si>
  <si>
    <t>고압가스(CO2) 안전관리업무는 2026.1.1일자 기준으로 설비운영팀에서 안전팀으로 이관</t>
    <phoneticPr fontId="1" type="noConversion"/>
  </si>
  <si>
    <t>'25.11.11(부문장님)</t>
    <phoneticPr fontId="1" type="noConversion"/>
  </si>
  <si>
    <t>완료(26.1.6이관)</t>
    <phoneticPr fontId="1" type="noConversion"/>
  </si>
  <si>
    <t>운전</t>
    <phoneticPr fontId="1" type="noConversion"/>
  </si>
  <si>
    <t>2026.1.1(목)부터 주보일러 SCAH 운전기준 110도에서 100도로 하향하여 운전 요망</t>
    <phoneticPr fontId="1" type="noConversion"/>
  </si>
  <si>
    <t>'25.12.12(부문장님)</t>
    <phoneticPr fontId="1" type="noConversion"/>
  </si>
  <si>
    <t>운전파트</t>
    <phoneticPr fontId="1" type="noConversion"/>
  </si>
  <si>
    <t>완료(26.1.1시행)</t>
    <phoneticPr fontId="1" type="noConversion"/>
  </si>
  <si>
    <t>'26.1.15(팀장)</t>
    <phoneticPr fontId="1" type="noConversion"/>
  </si>
  <si>
    <t>이성진+운전파트</t>
    <phoneticPr fontId="1" type="noConversion"/>
  </si>
  <si>
    <t>진행중(전기제어팀에 List 제공)</t>
    <phoneticPr fontId="1" type="noConversion"/>
  </si>
  <si>
    <t>'26.1.16(환경팀)</t>
    <phoneticPr fontId="1" type="noConversion"/>
  </si>
  <si>
    <t>운전파트</t>
    <phoneticPr fontId="1" type="noConversion"/>
  </si>
  <si>
    <t>완료(시행중)</t>
    <phoneticPr fontId="1" type="noConversion"/>
  </si>
  <si>
    <t>주요설비 긴급상황 대처(Tube 파열, Turbo Air Comp. 정지 등등) 및 안전운전 Guide 취합 작성</t>
    <phoneticPr fontId="1" type="noConversion"/>
  </si>
  <si>
    <t>효율</t>
    <phoneticPr fontId="1" type="noConversion"/>
  </si>
  <si>
    <t>고장 및 정지사례집 2025년 말까지 History 추가 Up date</t>
    <phoneticPr fontId="1" type="noConversion"/>
  </si>
  <si>
    <t xml:space="preserve"> 꼬리표(Tag) 및 Interlock 해제/복귀 관리 철저 요망. 꼬리표, Interlock 운용지침서 숙지후 지침서에 따라 관리 요망.  Tag 발행시 Tag no. 기록, 회수된 Tag는 1년간 보존 요망</t>
    <phoneticPr fontId="1" type="noConversion"/>
  </si>
  <si>
    <t>운전파트+송관석</t>
    <phoneticPr fontId="1" type="noConversion"/>
  </si>
  <si>
    <t>운전(3P)</t>
    <phoneticPr fontId="1" type="noConversion"/>
  </si>
  <si>
    <t>운전 3파트에 설비, 밸브 명칭 입력시 위치 확인할 수 있는 네비게이터 작성하여 임원회의 발표할 수 있도록 준비 요망</t>
    <phoneticPr fontId="1" type="noConversion"/>
  </si>
  <si>
    <t>'26.1.23(부문장님)</t>
    <phoneticPr fontId="1" type="noConversion"/>
  </si>
  <si>
    <t>3파트+운전,효율</t>
    <phoneticPr fontId="1" type="noConversion"/>
  </si>
  <si>
    <t>효율</t>
    <phoneticPr fontId="1" type="noConversion"/>
  </si>
  <si>
    <t>교대파트 휴가 관리 사이트 개설</t>
    <phoneticPr fontId="1" type="noConversion"/>
  </si>
  <si>
    <t>자율</t>
    <phoneticPr fontId="1" type="noConversion"/>
  </si>
  <si>
    <t>송관석</t>
    <phoneticPr fontId="1" type="noConversion"/>
  </si>
  <si>
    <t>'26.2.3 메일 공유(설비운영팀+이현정(경관)</t>
    <phoneticPr fontId="1" type="noConversion"/>
  </si>
  <si>
    <t>완료(26.2.3)</t>
    <phoneticPr fontId="1" type="noConversion"/>
  </si>
  <si>
    <t>송관석대리 광물 탄산화 담당지 지정
(GS건설 탈탄소 Solution 제안건 관려)</t>
    <phoneticPr fontId="1" type="noConversion"/>
  </si>
  <si>
    <t>'26.2.3(부문장님)</t>
    <phoneticPr fontId="1" type="noConversion"/>
  </si>
  <si>
    <t>송관석</t>
    <phoneticPr fontId="1" type="noConversion"/>
  </si>
  <si>
    <t>'26.2.3(화) 부문장님 지정</t>
    <phoneticPr fontId="1" type="noConversion"/>
  </si>
  <si>
    <t>터빈 감속기 기어 교체 정비시까지 주말등 SMP가 전기생산원가 이하이더라도 터빈발전기 감발없이 정상부하운전 요망</t>
    <phoneticPr fontId="1" type="noConversion"/>
  </si>
  <si>
    <t>'26.5.15(부문장님)</t>
    <phoneticPr fontId="1" type="noConversion"/>
  </si>
  <si>
    <t>파트장+TGO</t>
    <phoneticPr fontId="1" type="noConversion"/>
  </si>
  <si>
    <t>즉시 시행</t>
    <phoneticPr fontId="1" type="noConversion"/>
  </si>
  <si>
    <t>운전</t>
    <phoneticPr fontId="1" type="noConversion"/>
  </si>
  <si>
    <t>유기성고형연료 운전역무 조정 :
   ∙ 하역 및 이송설비(하역~신설Silo~기존 Silo) 운전업무 주담당자 BCO1 및 BO1, 부담당자 BCO2 및 BO2
   ∙ 유기성고형연료 공급설비(기존설비 Silo~보일러 연소실)는 1,2호기 운전원(제어실, 현장) 각각 담당</t>
    <phoneticPr fontId="1" type="noConversion"/>
  </si>
  <si>
    <t>'26.5.15(팀장)</t>
    <phoneticPr fontId="1" type="noConversion"/>
  </si>
  <si>
    <t>운전파트</t>
    <phoneticPr fontId="1" type="noConversion"/>
  </si>
  <si>
    <t>즉시 시행</t>
    <phoneticPr fontId="1" type="noConversion"/>
  </si>
  <si>
    <t>1,2호기 Bed Ash 배출주기 호기별 4회/일에서 6회/일로 증대(호기별 1회 배출량은 2톤이상 유지), 필요시 추가 배출</t>
    <phoneticPr fontId="1" type="noConversion"/>
  </si>
  <si>
    <t>'26.5.20(팀장)</t>
    <phoneticPr fontId="1" type="noConversion"/>
  </si>
  <si>
    <t>파트장+BCO</t>
    <phoneticPr fontId="1" type="noConversion"/>
  </si>
  <si>
    <t>`</t>
    <phoneticPr fontId="1" type="noConversion"/>
  </si>
  <si>
    <t>GS포천그린에너지 설비운영팀 업무분장</t>
    <phoneticPr fontId="46" type="noConversion"/>
  </si>
  <si>
    <r>
      <t>r</t>
    </r>
    <r>
      <rPr>
        <b/>
        <sz val="12"/>
        <rFont val="맑은 고딕"/>
        <family val="3"/>
        <charset val="129"/>
        <scheme val="minor"/>
      </rPr>
      <t xml:space="preserve"> 인력구성 : 팀장 포함 총 33명(부장 3, 차장 6, 과장 8, 대리 6, 주임 10)</t>
    </r>
    <phoneticPr fontId="46" type="noConversion"/>
  </si>
  <si>
    <r>
      <t>r</t>
    </r>
    <r>
      <rPr>
        <b/>
        <sz val="12"/>
        <rFont val="맑은 고딕"/>
        <family val="3"/>
        <charset val="129"/>
        <scheme val="minor"/>
      </rPr>
      <t xml:space="preserve"> 주요업무 : 설비운영 및 발전효율 관리</t>
    </r>
    <phoneticPr fontId="46" type="noConversion"/>
  </si>
  <si>
    <t>(설비운영팀, 2026.05.15기준)</t>
    <phoneticPr fontId="46" type="noConversion"/>
  </si>
  <si>
    <t>부서명</t>
    <phoneticPr fontId="42" type="noConversion"/>
  </si>
  <si>
    <t>업무분야</t>
    <phoneticPr fontId="46" type="noConversion"/>
  </si>
  <si>
    <t>주요업무</t>
    <phoneticPr fontId="46" type="noConversion"/>
  </si>
  <si>
    <t>업무 세부내역</t>
    <phoneticPr fontId="42" type="noConversion"/>
  </si>
  <si>
    <t>부 담당자</t>
    <phoneticPr fontId="42" type="noConversion"/>
  </si>
  <si>
    <t>비   고</t>
    <phoneticPr fontId="1" type="noConversion"/>
  </si>
  <si>
    <t>설비운영팀</t>
    <phoneticPr fontId="46" type="noConversion"/>
  </si>
  <si>
    <t>오현주 부장</t>
    <phoneticPr fontId="46" type="noConversion"/>
  </si>
  <si>
    <t>효율업무 총괄
(목표관리 및 원부재료, 용역사 관리)</t>
    <phoneticPr fontId="46" type="noConversion"/>
  </si>
  <si>
    <t>효율파트 업무 총괄</t>
    <phoneticPr fontId="42" type="noConversion"/>
  </si>
  <si>
    <t xml:space="preserve">  •  효율업무1&amp;2 담당자 업무 현황 총괄 점검 및 관리</t>
    <phoneticPr fontId="42" type="noConversion"/>
  </si>
  <si>
    <t xml:space="preserve">   - 년간 운영계획 목표 대비 실적, Catch-up 현황 점검</t>
    <phoneticPr fontId="46" type="noConversion"/>
  </si>
  <si>
    <t xml:space="preserve">   - 설비운영 현황 및 실적, 원부재료 운영관리, 운전관리 및 설비고장 관리 현황 점검</t>
    <phoneticPr fontId="42" type="noConversion"/>
  </si>
  <si>
    <t xml:space="preserve">   -  운전절차서, 안전관리, 교육훈련 현황 점검 및 관리 등등</t>
    <phoneticPr fontId="46" type="noConversion"/>
  </si>
  <si>
    <t>외주용역(연료설비, 특수미화원) 업무 관리</t>
    <phoneticPr fontId="46" type="noConversion"/>
  </si>
  <si>
    <t xml:space="preserve">  • 연료설비(Coal, Bio, 유기성고형연료) 운전 및 점검 관리, 현장 순찰 점검</t>
    <phoneticPr fontId="42" type="noConversion"/>
  </si>
  <si>
    <t>이성진 과장
(송관석 대리)</t>
    <phoneticPr fontId="46" type="noConversion"/>
  </si>
  <si>
    <t xml:space="preserve">  • Ash(Fly Ash, Bed Ash, SDA Ash) 반출설비 운전 및 점검 관리, 현장 순찰 점검</t>
    <phoneticPr fontId="42" type="noConversion"/>
  </si>
  <si>
    <t>전민정 지원</t>
    <phoneticPr fontId="46" type="noConversion"/>
  </si>
  <si>
    <t xml:space="preserve">  • 특수미화원 역무 관리, 굴삭기 및 집게차 등 안전작업 관리</t>
    <phoneticPr fontId="42" type="noConversion"/>
  </si>
  <si>
    <t xml:space="preserve">  • 용역업무(연료설비 운전, 신호수, 특수미화원) 안전관리 및 운전지침서 관리</t>
    <phoneticPr fontId="42" type="noConversion"/>
  </si>
  <si>
    <t xml:space="preserve">  • 용역사 기성 내역 검토, 요청사항 및 미비사항 점검 관리</t>
    <phoneticPr fontId="42" type="noConversion"/>
  </si>
  <si>
    <t>설비 현장순잘 점검, 관리</t>
    <phoneticPr fontId="46" type="noConversion"/>
  </si>
  <si>
    <t xml:space="preserve">  • 주요 TM사항 및 설비 정상화 상태 점검, 관리</t>
    <phoneticPr fontId="42" type="noConversion"/>
  </si>
  <si>
    <t>이성진 과장</t>
    <phoneticPr fontId="46" type="noConversion"/>
  </si>
  <si>
    <t xml:space="preserve">  • 주설비 및 부대설비 설비점검 현장순찰 및 안전점검</t>
    <phoneticPr fontId="42" type="noConversion"/>
  </si>
  <si>
    <t>T/G출력제어(KPX)</t>
    <phoneticPr fontId="1" type="noConversion"/>
  </si>
  <si>
    <t>이성진 과장</t>
    <phoneticPr fontId="46" type="noConversion"/>
  </si>
  <si>
    <t>이성진 과장</t>
    <phoneticPr fontId="46" type="noConversion"/>
  </si>
  <si>
    <t>운영목표 관리</t>
    <phoneticPr fontId="42" type="noConversion"/>
  </si>
  <si>
    <t xml:space="preserve">  • 팀내 주요 성과목표(KPI) 계획수립, 실적 및 Catch-up 관리</t>
    <phoneticPr fontId="46" type="noConversion"/>
  </si>
  <si>
    <t>송관석 대리
(오현주 부장)</t>
    <phoneticPr fontId="46" type="noConversion"/>
  </si>
  <si>
    <t xml:space="preserve">  • 년간운전계획 및 실적, 예산계획 수립</t>
    <phoneticPr fontId="42" type="noConversion"/>
  </si>
  <si>
    <t>설비 운영관리</t>
    <phoneticPr fontId="42" type="noConversion"/>
  </si>
  <si>
    <t xml:space="preserve">  • 주간 운영실적(전력생산, 연료사용량 및 혼소율) 현황 관리(경영관리팀 공유)</t>
    <phoneticPr fontId="42" type="noConversion"/>
  </si>
  <si>
    <t>송관석 대리</t>
    <phoneticPr fontId="46" type="noConversion"/>
  </si>
  <si>
    <t xml:space="preserve">  • Bio 및 유기성고형연료 혼소율 운전계획 대비 실적 관리(연료 발열량 등 고려)</t>
    <phoneticPr fontId="46" type="noConversion"/>
  </si>
  <si>
    <t xml:space="preserve">  • 보일러 및 터빈 성능분석 및 관리, 경제적 운전 방안 수립</t>
    <phoneticPr fontId="42" type="noConversion"/>
  </si>
  <si>
    <t xml:space="preserve">  • 연료원 다변화 및 혼소율 증대 관련 설비운전 영향 등 검토</t>
    <phoneticPr fontId="42" type="noConversion"/>
  </si>
  <si>
    <t xml:space="preserve">  • 유연탄 항차 탄종 연소성(사용 적정성) 분석</t>
    <phoneticPr fontId="46" type="noConversion"/>
  </si>
  <si>
    <t>송관석 대리</t>
    <phoneticPr fontId="46" type="noConversion"/>
  </si>
  <si>
    <t xml:space="preserve">  • 원재료(유연탄, Bio, 유기성고형연료 등) 및 부재료, Ash 입출고 계획 및 재고 관리</t>
    <phoneticPr fontId="46" type="noConversion"/>
  </si>
  <si>
    <t>전민정 지원</t>
    <phoneticPr fontId="46" type="noConversion"/>
  </si>
  <si>
    <r>
      <t>설비 운전관리,
공정</t>
    </r>
    <r>
      <rPr>
        <b/>
        <sz val="11"/>
        <rFont val="맑은 고딕"/>
        <family val="3"/>
        <charset val="129"/>
      </rPr>
      <t>∙설비</t>
    </r>
    <r>
      <rPr>
        <b/>
        <sz val="11"/>
        <rFont val="맑은 고딕"/>
        <family val="3"/>
        <charset val="129"/>
        <scheme val="major"/>
      </rPr>
      <t>사고 관리</t>
    </r>
    <phoneticPr fontId="46" type="noConversion"/>
  </si>
  <si>
    <t xml:space="preserve">  • 기동, 정지 운전 계획 수립 및 검토(OH공사, 탄종변경 등)</t>
    <phoneticPr fontId="42" type="noConversion"/>
  </si>
  <si>
    <t xml:space="preserve">  • 설비 고장정지 원인 분석 및 Trouble History 관리</t>
    <phoneticPr fontId="46" type="noConversion"/>
  </si>
  <si>
    <r>
      <t xml:space="preserve">  • 공정사고</t>
    </r>
    <r>
      <rPr>
        <b/>
        <sz val="11"/>
        <rFont val="맑은 고딕"/>
        <family val="3"/>
        <charset val="129"/>
      </rPr>
      <t>∙설비사고</t>
    </r>
    <r>
      <rPr>
        <b/>
        <sz val="11"/>
        <rFont val="맑은 고딕"/>
        <family val="3"/>
        <charset val="129"/>
        <scheme val="major"/>
      </rPr>
      <t xml:space="preserve"> 및 주설비정지 원인 분석, 대응방안 검토 [공정,설비사고 조사 간사]</t>
    </r>
    <phoneticPr fontId="46" type="noConversion"/>
  </si>
  <si>
    <t xml:space="preserve">  • 주요 설비사고(공정사고, 주설비 정지 등) 상황속보 작성</t>
    <phoneticPr fontId="42" type="noConversion"/>
  </si>
  <si>
    <t>통합문서(운전절차서)
관리</t>
    <phoneticPr fontId="42" type="noConversion"/>
  </si>
  <si>
    <t xml:space="preserve">  • 각종 운전절차서, 지침서 보완 및 개정</t>
    <phoneticPr fontId="42" type="noConversion"/>
  </si>
  <si>
    <t xml:space="preserve">  • 설비운전 관련 참고 운전 Guide, Check List 양식 등 작성 및 관리</t>
    <phoneticPr fontId="42" type="noConversion"/>
  </si>
  <si>
    <t xml:space="preserve">  • 무정지 운전 방안 검토(설비 정지 예상 상황 분석 및 조치방안, Risk 설비 조사 등)</t>
    <phoneticPr fontId="42" type="noConversion"/>
  </si>
  <si>
    <r>
      <t>효율업무2
(운영실적, 교육훈련,
행정</t>
    </r>
    <r>
      <rPr>
        <b/>
        <sz val="11"/>
        <rFont val="맑은 고딕"/>
        <family val="3"/>
        <charset val="129"/>
      </rPr>
      <t>∙구매관리</t>
    </r>
    <r>
      <rPr>
        <b/>
        <sz val="11"/>
        <rFont val="맑은 고딕"/>
        <family val="3"/>
        <charset val="129"/>
        <scheme val="minor"/>
      </rPr>
      <t>)</t>
    </r>
    <phoneticPr fontId="46" type="noConversion"/>
  </si>
  <si>
    <t xml:space="preserve">  • 운전기록 및 이력관리 (증기, 전기생산, 연료사용량, 약품 사용량 등)</t>
    <phoneticPr fontId="42" type="noConversion"/>
  </si>
  <si>
    <t>이성진 과장</t>
    <phoneticPr fontId="46" type="noConversion"/>
  </si>
  <si>
    <t xml:space="preserve">  • EP 운전정보시스템 운영정보 "일일운전현황(발전)", "일일 보고현황(효율)") Data 관리</t>
    <phoneticPr fontId="42" type="noConversion"/>
  </si>
  <si>
    <t>전민정 지원(실무)</t>
    <phoneticPr fontId="46" type="noConversion"/>
  </si>
  <si>
    <t xml:space="preserve">  • 월간 운영실적 작성 및 관리(운전효율 등), 유관부서 공유(To.경영관리팀,운영지원팀,환경팀)</t>
    <phoneticPr fontId="42" type="noConversion"/>
  </si>
  <si>
    <t xml:space="preserve">  • 전력판매량, 수전요금, 도시가스 요금 실적 관리</t>
    <phoneticPr fontId="42" type="noConversion"/>
  </si>
  <si>
    <r>
      <t xml:space="preserve">  • </t>
    </r>
    <r>
      <rPr>
        <b/>
        <sz val="11"/>
        <rFont val="맑은 고딕"/>
        <family val="3"/>
        <charset val="129"/>
      </rPr>
      <t>배출권 거래제 관련 업무(w. 경영관리팀)</t>
    </r>
    <phoneticPr fontId="42" type="noConversion"/>
  </si>
  <si>
    <t>수전 및 전력 판매량 관리</t>
    <phoneticPr fontId="42" type="noConversion"/>
  </si>
  <si>
    <t xml:space="preserve">  • 전력거래소 실적 및 운전정보 입력(KPX 자료 → 운영정보시스템 입력)</t>
    <phoneticPr fontId="42" type="noConversion"/>
  </si>
  <si>
    <t>이성진 과장</t>
    <phoneticPr fontId="46" type="noConversion"/>
  </si>
  <si>
    <t>안전관리</t>
    <phoneticPr fontId="46" type="noConversion"/>
  </si>
  <si>
    <t>이성진 과장
(오현주 부장)</t>
    <phoneticPr fontId="46" type="noConversion"/>
  </si>
  <si>
    <t xml:space="preserve">  • 안전보건 교육(매월) 일지 관리, 아차사고 및 개선제안 발굴 관리 및 교육관리</t>
    <phoneticPr fontId="42" type="noConversion"/>
  </si>
  <si>
    <t>전민정 지원</t>
    <phoneticPr fontId="46" type="noConversion"/>
  </si>
  <si>
    <t xml:space="preserve">  • 소내설비 안전운전 위한 설비 점검, 합동안전점검 결과 조치사항 관리</t>
    <phoneticPr fontId="42" type="noConversion"/>
  </si>
  <si>
    <t xml:space="preserve">  • 운전원 순찰 점검 일지 점검 및 통합 관리</t>
    <phoneticPr fontId="46" type="noConversion"/>
  </si>
  <si>
    <r>
      <t xml:space="preserve">  • </t>
    </r>
    <r>
      <rPr>
        <b/>
        <sz val="11"/>
        <rFont val="맑은 고딕"/>
        <family val="3"/>
        <charset val="129"/>
      </rPr>
      <t>안전작업허가서 관리(정비부서, 연료설비 등 작업허가서 최종본 관리)</t>
    </r>
    <phoneticPr fontId="42" type="noConversion"/>
  </si>
  <si>
    <t>교육•훈련 관리</t>
    <phoneticPr fontId="42" type="noConversion"/>
  </si>
  <si>
    <t xml:space="preserve">  • 통합 비상모의 훈련계획 수립 및 분기별 실적 관리</t>
    <phoneticPr fontId="42" type="noConversion"/>
  </si>
  <si>
    <t xml:space="preserve">  • 자체교육 및 외부위탁교육 실적 관리</t>
    <phoneticPr fontId="42" type="noConversion"/>
  </si>
  <si>
    <t xml:space="preserve">  • 신입사원 교육</t>
    <phoneticPr fontId="42" type="noConversion"/>
  </si>
  <si>
    <t>회의 및 보고자료</t>
    <phoneticPr fontId="46" type="noConversion"/>
  </si>
  <si>
    <t xml:space="preserve">  • 팀 주간회의자료 작성,  각종 운영부문 회의자료 취합 및 보고</t>
    <phoneticPr fontId="42" type="noConversion"/>
  </si>
  <si>
    <t>이성진 과장</t>
    <phoneticPr fontId="46" type="noConversion"/>
  </si>
  <si>
    <t xml:space="preserve">  • 운영부문 임원 회의자료 취합 작성 및 보고</t>
    <phoneticPr fontId="46" type="noConversion"/>
  </si>
  <si>
    <r>
      <t xml:space="preserve"> 행정</t>
    </r>
    <r>
      <rPr>
        <b/>
        <sz val="11"/>
        <rFont val="맑은 고딕"/>
        <family val="3"/>
        <charset val="129"/>
      </rPr>
      <t>•구매 관리</t>
    </r>
    <phoneticPr fontId="42" type="noConversion"/>
  </si>
  <si>
    <t xml:space="preserve">  • 무전기 및 전동공구 구매 및 현황 관리(자이E 연료운전 및 분진원 포함)</t>
    <phoneticPr fontId="46" type="noConversion"/>
  </si>
  <si>
    <t xml:space="preserve">  • 팀내 수선비 및 소모성 예산 물품 구매</t>
    <phoneticPr fontId="42" type="noConversion"/>
  </si>
  <si>
    <t>전민정 지원(실무)</t>
    <phoneticPr fontId="46" type="noConversion"/>
  </si>
  <si>
    <t xml:space="preserve">  • 팀내 예산(통제성) 실적 관리 및 회계전표 처리</t>
    <phoneticPr fontId="42" type="noConversion"/>
  </si>
  <si>
    <t xml:space="preserve">  • 팀내 보관문서관리, 근태관리 (OT 등) / 팀원 각종 수요파악 취합 업무, 기타 업무지원</t>
    <phoneticPr fontId="42" type="noConversion"/>
  </si>
  <si>
    <t>파트장외 6명
(운전파트
 4개조*7명)</t>
    <phoneticPr fontId="46" type="noConversion"/>
  </si>
  <si>
    <t>발전 및 열생산
설비 운전</t>
    <phoneticPr fontId="46" type="noConversion"/>
  </si>
  <si>
    <t>주설비 운전 및 관리,
긴급상황 비상조치</t>
    <phoneticPr fontId="46" type="noConversion"/>
  </si>
  <si>
    <t xml:space="preserve">  • 발전 운전현황 관리</t>
    <phoneticPr fontId="46" type="noConversion"/>
  </si>
  <si>
    <t xml:space="preserve"> / 운전파트</t>
    <phoneticPr fontId="46" type="noConversion"/>
  </si>
  <si>
    <t xml:space="preserve">  • Clean SYS 환경등록 확인, 설비 Trouble Report, 운전절차서 등 검토 및 확인</t>
    <phoneticPr fontId="46" type="noConversion"/>
  </si>
  <si>
    <t xml:space="preserve">  • 열수요처 증기 공급상태 파악 및 안정적 증기공급 운전 조치</t>
    <phoneticPr fontId="46" type="noConversion"/>
  </si>
  <si>
    <t xml:space="preserve">  • 설비관리(순찰 및 점검, 설비 청결 관리 등), 고장 설비 TM 발행 및 Tag관리, 정비작업 현장지원</t>
    <phoneticPr fontId="46" type="noConversion"/>
  </si>
  <si>
    <t xml:space="preserve">  • 안전관리(정비작업 대응 운전 관리, 작업허가서 승인 및 작업후 안전점검, BM작업 등)</t>
    <phoneticPr fontId="46" type="noConversion"/>
  </si>
  <si>
    <t xml:space="preserve">  • 비상상황 대응(비상시 상황 보고 및 긴급 대응 조치)</t>
    <phoneticPr fontId="46" type="noConversion"/>
  </si>
  <si>
    <t>담당자</t>
    <phoneticPr fontId="46" type="noConversion"/>
  </si>
  <si>
    <t>업무분야</t>
    <phoneticPr fontId="46" type="noConversion"/>
  </si>
  <si>
    <t>업무 세부내역</t>
    <phoneticPr fontId="42" type="noConversion"/>
  </si>
  <si>
    <t>부 담당자</t>
    <phoneticPr fontId="42" type="noConversion"/>
  </si>
  <si>
    <t>비   고</t>
    <phoneticPr fontId="1" type="noConversion"/>
  </si>
  <si>
    <t>설비운영팀</t>
    <phoneticPr fontId="46" type="noConversion"/>
  </si>
  <si>
    <t>파트장
(조용환과장,
 한만석차장,
 남정현차장,
 김광표부장)</t>
    <phoneticPr fontId="46" type="noConversion"/>
  </si>
  <si>
    <t>설비운전</t>
    <phoneticPr fontId="46" type="noConversion"/>
  </si>
  <si>
    <t>설비운전관리
및
긴급상황 비상조치</t>
    <phoneticPr fontId="46" type="noConversion"/>
  </si>
  <si>
    <t xml:space="preserve"> / 운전파트</t>
    <phoneticPr fontId="46" type="noConversion"/>
  </si>
  <si>
    <t xml:space="preserve">  • 발전 및 열생산 설비 운전 총괄(일근 시간외 사업장 전체 설비 운전 관리)</t>
    <phoneticPr fontId="46" type="noConversion"/>
  </si>
  <si>
    <t xml:space="preserve">  • Clean SYS 환경등록 확인, 설비 Trouble Report, 운전절차서 등 검토 및 확인</t>
    <phoneticPr fontId="46" type="noConversion"/>
  </si>
  <si>
    <t xml:space="preserve">  • 열수요처 증기 공급상태 파악 및 안정적 증기공급 운전 조치</t>
    <phoneticPr fontId="46" type="noConversion"/>
  </si>
  <si>
    <t xml:space="preserve">  • 설비관리(운전원 순찰 및 점검, 설비 청결 관리 등), 운전절차서 검토</t>
    <phoneticPr fontId="46" type="noConversion"/>
  </si>
  <si>
    <t xml:space="preserve">  • 비상상황 대응(비상시 상황 보고 및 긴급 대응 조치)</t>
    <phoneticPr fontId="46" type="noConversion"/>
  </si>
  <si>
    <t xml:space="preserve">  • 파트원 교육 훈련 및 관리(비상모의훈련, 직무교육, 안전교육 등)</t>
    <phoneticPr fontId="46" type="noConversion"/>
  </si>
  <si>
    <t>TGO
(하태곤차장,
 박문수차장,
 김형준차장,
 이규현과장)</t>
    <phoneticPr fontId="46" type="noConversion"/>
  </si>
  <si>
    <t>설비운전</t>
    <phoneticPr fontId="46" type="noConversion"/>
  </si>
  <si>
    <t>터빈/발전기 및
보조보일러 운전
(제어실운전원)</t>
    <phoneticPr fontId="46" type="noConversion"/>
  </si>
  <si>
    <t xml:space="preserve">  • TBN &amp; Generator 출력 및 공정용증기(HP &amp; LP) 공급 관리</t>
    <phoneticPr fontId="46" type="noConversion"/>
  </si>
  <si>
    <t xml:space="preserve">  • BOP 설비(급∙복수 및 냉각수계통, Plant Air Comp., Service/Raw water설비 등) 운전</t>
    <phoneticPr fontId="46" type="noConversion"/>
  </si>
  <si>
    <t xml:space="preserve">  • ECMS 및 전기설비(전기실, SWGR, GIS, TR, 비상발전기 등) 운전</t>
    <phoneticPr fontId="46" type="noConversion"/>
  </si>
  <si>
    <t xml:space="preserve">  • Aux. Boiler 운전 및 보전 관리(제어실, Aux' Boiler 가동시)</t>
    <phoneticPr fontId="46" type="noConversion"/>
  </si>
  <si>
    <t xml:space="preserve">  • 기타설비 운전(주설비및보조보일러건물∙냉각수펌프동 HVAC Sys., 운전설비 Sump pump)</t>
    <phoneticPr fontId="46" type="noConversion"/>
  </si>
  <si>
    <t xml:space="preserve">  • 운전설비 교체운전, 설비상태 관리 및 TM발행 등, 운전절차서 검토</t>
    <phoneticPr fontId="46" type="noConversion"/>
  </si>
  <si>
    <t xml:space="preserve">  • 태양광 발전설비 상태 점검 및 운전 업무지원</t>
    <phoneticPr fontId="46" type="noConversion"/>
  </si>
  <si>
    <t>BCO1
(서동인과장,
 형준영과장,
 이휘근과장,
 권훈과장)</t>
    <phoneticPr fontId="46" type="noConversion"/>
  </si>
  <si>
    <t>설비운전</t>
    <phoneticPr fontId="46" type="noConversion"/>
  </si>
  <si>
    <t>1호기 보일러 운전
(제어실운전원)</t>
    <phoneticPr fontId="1" type="noConversion"/>
  </si>
  <si>
    <t xml:space="preserve">  • N0.1 CFBC Boiler 및 부대설비 제어실운전, 각종 기록 및 관리</t>
    <phoneticPr fontId="46" type="noConversion"/>
  </si>
  <si>
    <t xml:space="preserve">  • BOP 설비(Blower 및 Fan류, 연료공급 및 부재료 계통, 회처리, 배가스 환경설비 등) 운전</t>
    <phoneticPr fontId="46" type="noConversion"/>
  </si>
  <si>
    <t xml:space="preserve">  • 혼소율 관리 및 최적 연소 운전, 부재료 사용량 관리</t>
    <phoneticPr fontId="46" type="noConversion"/>
  </si>
  <si>
    <t xml:space="preserve">  • TMS 환경 기준치 이내운전 관리(Sox, Nox, Dust)</t>
    <phoneticPr fontId="46" type="noConversion"/>
  </si>
  <si>
    <t xml:space="preserve">  • 운전설비 교체운전, 설비상태 관리 및 TM발행 등, 운전절차서 검토</t>
    <phoneticPr fontId="46" type="noConversion"/>
  </si>
  <si>
    <t xml:space="preserve">  • 팀내 파트별 교육자료 관리(비상모의훈련, 안전, 직무교육 등)</t>
    <phoneticPr fontId="46" type="noConversion"/>
  </si>
  <si>
    <t xml:space="preserve">  • TBN/GEN 운전관리 지원(Aux' Boiler 가동시)</t>
    <phoneticPr fontId="46" type="noConversion"/>
  </si>
  <si>
    <t xml:space="preserve">  • 유기성고형연료 하역 및 이송설비 제어실 운전(정)</t>
    <phoneticPr fontId="46" type="noConversion"/>
  </si>
  <si>
    <t>'26.05.15</t>
    <phoneticPr fontId="1" type="noConversion"/>
  </si>
  <si>
    <t>BCO2
(고석훈대리,
 양영균대리,
 김현상대리,
 박일남과장)</t>
    <phoneticPr fontId="46" type="noConversion"/>
  </si>
  <si>
    <t>2호기 보일러 운전
(제어실운전원)</t>
    <phoneticPr fontId="1" type="noConversion"/>
  </si>
  <si>
    <t xml:space="preserve">  • N0.2 CFBC Boiler 및 부대설비 제어실운전, 각종 기록 및 관리</t>
    <phoneticPr fontId="46" type="noConversion"/>
  </si>
  <si>
    <t xml:space="preserve">  • BOP 설비(Blower 및 Fan류, 연료공급 및 부재료 계통, 회처리, 배가스 환경설비 등) 운전</t>
    <phoneticPr fontId="46" type="noConversion"/>
  </si>
  <si>
    <t xml:space="preserve">  • 혼소율 관리 및 최적 연소 운전, 부재료 사용량 관리</t>
    <phoneticPr fontId="46" type="noConversion"/>
  </si>
  <si>
    <t xml:space="preserve">  • TMS 환경 기준치 이내운전 관리(Sox, Nox, Dust)</t>
    <phoneticPr fontId="46" type="noConversion"/>
  </si>
  <si>
    <t xml:space="preserve">  • 일일 Boiler 운전 적산자료 작성</t>
    <phoneticPr fontId="46" type="noConversion"/>
  </si>
  <si>
    <t xml:space="preserve">  • 수처리 및 연료취급설비(외주용역) 운전 업무지원(운전 협조)</t>
    <phoneticPr fontId="46" type="noConversion"/>
  </si>
  <si>
    <t xml:space="preserve">  • 유기성고형연료 하역 및 이송설비 제어실 운전(부)</t>
    <phoneticPr fontId="46" type="noConversion"/>
  </si>
  <si>
    <t>'26.05.15</t>
    <phoneticPr fontId="1" type="noConversion"/>
  </si>
  <si>
    <t>TO
(최혜민과장,
 변정률주임,
 이용수주임,
 김민중대리)</t>
    <phoneticPr fontId="46" type="noConversion"/>
  </si>
  <si>
    <t>터빈/발전기 및
보조보일러 현장운전
및 점검(현장운전원)</t>
    <phoneticPr fontId="46" type="noConversion"/>
  </si>
  <si>
    <r>
      <t xml:space="preserve">  • 터빈/발전기 및 부대설비, BOP 설비 현장운전 및 점검
</t>
    </r>
    <r>
      <rPr>
        <sz val="12"/>
        <color theme="1"/>
        <rFont val="Times New Roman"/>
        <family val="1"/>
      </rPr>
      <t/>
    </r>
    <phoneticPr fontId="1" type="noConversion"/>
  </si>
  <si>
    <t xml:space="preserve">  • ECMS 및 전기설비(전기실, SWGR, GIS, TR, 비상발전기 등) 현장 점검 및 운전</t>
    <phoneticPr fontId="46" type="noConversion"/>
  </si>
  <si>
    <t xml:space="preserve">  • Aux. Boiler 현장 점검 및 운전 (긴급시 Aux. Boiler 제어실 운전 지원)</t>
    <phoneticPr fontId="46" type="noConversion"/>
  </si>
  <si>
    <r>
      <t xml:space="preserve">  • 설비별 월간</t>
    </r>
    <r>
      <rPr>
        <b/>
        <sz val="11"/>
        <rFont val="맑은 고딕"/>
        <family val="3"/>
        <charset val="129"/>
      </rPr>
      <t>·</t>
    </r>
    <r>
      <rPr>
        <b/>
        <sz val="11"/>
        <rFont val="맑은 고딕"/>
        <family val="3"/>
        <charset val="129"/>
        <scheme val="minor"/>
      </rPr>
      <t xml:space="preserve">주간·일일점검 및 교체운전(현장) 관리, TBN분야 설비점검, Log Sheet 작성 </t>
    </r>
    <phoneticPr fontId="46" type="noConversion"/>
  </si>
  <si>
    <t xml:space="preserve">  • 설비 청결, 고장 및 비상사고 현장 조치, 사고원인 파악</t>
    <phoneticPr fontId="46" type="noConversion"/>
  </si>
  <si>
    <t xml:space="preserve">  • 소화설비 점검, 소내 Process Steam Line Trap 관리, 주제어동 지하 설비 순찰 관리</t>
    <phoneticPr fontId="46" type="noConversion"/>
  </si>
  <si>
    <t>BO1
(최수민주임,
 곽기영주임,
 한동혁대리,
 방덕윤주임)</t>
    <phoneticPr fontId="46" type="noConversion"/>
  </si>
  <si>
    <t>설비운전</t>
    <phoneticPr fontId="46" type="noConversion"/>
  </si>
  <si>
    <t>1호기 보일러 현장운전
및 점검(현장운전원)</t>
    <phoneticPr fontId="1" type="noConversion"/>
  </si>
  <si>
    <t xml:space="preserve">  • N0.1 CFBC Boiler 및 부대설비 현장운전, 각종 기록 및 관리</t>
    <phoneticPr fontId="46" type="noConversion"/>
  </si>
  <si>
    <t xml:space="preserve">  • BOP 설비(정압기실, Fly Ash Silo 등) 현장운전 및 점검, Coal 및 Fly Ash Sampling</t>
    <phoneticPr fontId="46" type="noConversion"/>
  </si>
  <si>
    <r>
      <t xml:space="preserve">  • 설비별 월간</t>
    </r>
    <r>
      <rPr>
        <b/>
        <sz val="11"/>
        <rFont val="맑은 고딕"/>
        <family val="3"/>
        <charset val="129"/>
      </rPr>
      <t>·</t>
    </r>
    <r>
      <rPr>
        <b/>
        <sz val="11"/>
        <rFont val="맑은 고딕"/>
        <family val="3"/>
        <charset val="129"/>
        <scheme val="minor"/>
      </rPr>
      <t xml:space="preserve">주간·일일점검 및 교체운전(현장) 관리, 1호기분야 설비점검, Log Sheet 작성 </t>
    </r>
    <phoneticPr fontId="46" type="noConversion"/>
  </si>
  <si>
    <t xml:space="preserve">  • 설비 청결관리 및 현장 안전관리, 설비고장 및 비상사고 현장 조치, 사고원인 파악</t>
    <phoneticPr fontId="46" type="noConversion"/>
  </si>
  <si>
    <t xml:space="preserve">  • 소화설비 점검, 동절기, 해빙기, 우기시 현장 예방점검</t>
    <phoneticPr fontId="46" type="noConversion"/>
  </si>
  <si>
    <t xml:space="preserve">  • 유기성고형연료 하역 및 이송설비 현장 운전 및 설비점검,관리(정)</t>
    <phoneticPr fontId="46" type="noConversion"/>
  </si>
  <si>
    <t>'26.05.15</t>
    <phoneticPr fontId="1" type="noConversion"/>
  </si>
  <si>
    <t>BO2
(차병석주임,
 박건주임,
 김덕용주임,
 최연호주임)</t>
    <phoneticPr fontId="46" type="noConversion"/>
  </si>
  <si>
    <t>2호기 보일러 현장운전
및 점검(현장운전원)</t>
    <phoneticPr fontId="1" type="noConversion"/>
  </si>
  <si>
    <t xml:space="preserve">  • N0.2 CFBC Boiler 및 부대설비 현장운전, 각종 기록 및 관리</t>
    <phoneticPr fontId="46" type="noConversion"/>
  </si>
  <si>
    <t xml:space="preserve">  • BOP 설비(Ash Air Comp. 등) 현장운전 및 점검, Coal 및 Fly Ash Sampling</t>
    <phoneticPr fontId="46" type="noConversion"/>
  </si>
  <si>
    <r>
      <t xml:space="preserve">  • 설비별 월간</t>
    </r>
    <r>
      <rPr>
        <b/>
        <sz val="11"/>
        <rFont val="맑은 고딕"/>
        <family val="3"/>
        <charset val="129"/>
      </rPr>
      <t>·</t>
    </r>
    <r>
      <rPr>
        <b/>
        <sz val="11"/>
        <rFont val="맑은 고딕"/>
        <family val="3"/>
        <charset val="129"/>
        <scheme val="minor"/>
      </rPr>
      <t xml:space="preserve">주간·일일점검 및 교체운전(현장) 관리, 2호기분야 설비점검, Log Sheet 작성 </t>
    </r>
    <phoneticPr fontId="46" type="noConversion"/>
  </si>
  <si>
    <t xml:space="preserve">  • 설비 예방관리 및 최적운전 현장관리, 고장 설비 TM 발행 및 Tag관리, 정비작업 현장지원</t>
    <phoneticPr fontId="46" type="noConversion"/>
  </si>
  <si>
    <t xml:space="preserve"> • 유기성고형연료 하역 및 이송설비 현장 운전 및 설비점검,관리(부)</t>
    <phoneticPr fontId="46" type="noConversion"/>
  </si>
  <si>
    <t>[최수민]</t>
    <phoneticPr fontId="1" type="noConversion"/>
  </si>
  <si>
    <t>2026.05월 기준</t>
    <phoneticPr fontId="1" type="noConversion"/>
  </si>
  <si>
    <t>26년부터 2,8,11월4주차 화,수
(5월 OH시) Empty배출</t>
    <phoneticPr fontId="1" type="noConversion"/>
  </si>
  <si>
    <t>[TM회의]</t>
    <phoneticPr fontId="1" type="noConversion"/>
  </si>
  <si>
    <t xml:space="preserve"> - Biio등 혼소연료 혼소운전기준을 기존 일최대량 및 월평균 혼소율 관리에서 일최대 혼소량만 관리하여 운전하고 있음 [참고]</t>
    <phoneticPr fontId="1" type="noConversion"/>
  </si>
  <si>
    <t xml:space="preserve"> - Bio 일사용량 대비 혼소율 25%이하.  입열량 증가 또는 효율저하, Bio 발열량 감소 등 사유 점검 필요 [이성진+효율]</t>
    <phoneticPr fontId="1" type="noConversion"/>
  </si>
  <si>
    <t xml:space="preserve"> ○ Fly Ash 발생량 많으므로 환경팀에서는 투입되는 석탄 Ash 성분 등 분석 요망 [환경팀]</t>
    <phoneticPr fontId="1" type="noConversion"/>
  </si>
  <si>
    <t xml:space="preserve"> ○ TT01지하 Pin Hole 작업 비계 종종 사용하므로 보수작업용 Walk Way설치방안 기계팀에서 검토 요망 [기계팀]</t>
    <phoneticPr fontId="1" type="noConversion"/>
  </si>
  <si>
    <t xml:space="preserve"> * (파트장) 1호기 유기성고형연료 Blower #B PSV 파손됨.  기계팀 점검 보수 요망 [기계팀]</t>
    <phoneticPr fontId="1" type="noConversion"/>
  </si>
  <si>
    <t xml:space="preserve"> ○ 금일 SMP 가격 높으므로 혼소량 미충족하더라도 안전하게 연속 최대한 발전운전 요망 [공통]</t>
    <phoneticPr fontId="1" type="noConversion"/>
  </si>
  <si>
    <t>[설비운영팀]</t>
    <phoneticPr fontId="1" type="noConversion"/>
  </si>
  <si>
    <t xml:space="preserve"> - 8월 말기준 누적 혼소율 실적 미달.  년말 Bio설비 개선공사 고려하여 년간 목표 혼소율 달성위한 하반기 잔여기간 혼소계획 검토요망 [이성진+효율파트]</t>
    <phoneticPr fontId="1" type="noConversion"/>
  </si>
  <si>
    <t xml:space="preserve"> - Fly Ash 발생량, Limestone 사용량 등 적정한 것인지 운전실적 점검 요망 [효율파트]</t>
    <phoneticPr fontId="1" type="noConversion"/>
  </si>
  <si>
    <r>
      <t xml:space="preserve"> - </t>
    </r>
    <r>
      <rPr>
        <sz val="10"/>
        <color rgb="FF0000FF"/>
        <rFont val="맑은 고딕"/>
        <family val="3"/>
        <charset val="129"/>
      </rPr>
      <t>설비 안전운전 철저,  운전 특이사항 발생건 및 발생 예상되는 사항 신속 공유 및 보고 요망 [운전파</t>
    </r>
    <r>
      <rPr>
        <sz val="10"/>
        <color rgb="FF000000"/>
        <rFont val="맑은 고딕"/>
        <family val="3"/>
        <charset val="129"/>
      </rPr>
      <t>트+효율]</t>
    </r>
    <phoneticPr fontId="1" type="noConversion"/>
  </si>
  <si>
    <t>2. 보상휴가 : 오현주부장(오후0.5)</t>
    <phoneticPr fontId="1" type="noConversion"/>
  </si>
  <si>
    <t>2. 보상휴가 : 오현주부장</t>
    <phoneticPr fontId="1" type="noConversion"/>
  </si>
  <si>
    <t xml:space="preserve"> - 계통 무효전력 상승으로 발전기 전류 상승되면서 Thermal 상승 추정 </t>
    <phoneticPr fontId="1" type="noConversion"/>
  </si>
  <si>
    <t>2. 본관동 지하 급탕 탱크 대류 펌프 샤프트측 고착 해소 후 정상 기동 확인 - TM 작업</t>
    <phoneticPr fontId="1" type="noConversion"/>
  </si>
  <si>
    <t>TM 발행</t>
    <phoneticPr fontId="1" type="noConversion"/>
  </si>
  <si>
    <t xml:space="preserve"> - #1 BLR 유기성 고형연료 Blower #B 후단 PSV Line 이탈됨</t>
    <phoneticPr fontId="1" type="noConversion"/>
  </si>
  <si>
    <t>TM 발행</t>
    <phoneticPr fontId="1" type="noConversion"/>
  </si>
  <si>
    <t>5. #2 BLR Bed Ash Surge Bin Aeration Tubing Line Pinhole</t>
    <phoneticPr fontId="1" type="noConversion"/>
  </si>
  <si>
    <t>TM 발행</t>
    <phoneticPr fontId="1" type="noConversion"/>
  </si>
  <si>
    <t>7. #2 BLR Back Pass Inlet Press #C 점검 실시-계측기 Manifold Vent Line이 Open되지 않음. -&gt; 오버홀 작업 예정.</t>
    <phoneticPr fontId="1" type="noConversion"/>
  </si>
  <si>
    <t xml:space="preserve">4. #2 Bed Ash Air Lock Feeder Inlet Dome Valve Actuator 고정 볼트 4EA 유실 - 작업 완료 </t>
    <phoneticPr fontId="1" type="noConversion"/>
  </si>
  <si>
    <t>TM 작업 완료</t>
    <phoneticPr fontId="1" type="noConversion"/>
  </si>
  <si>
    <t xml:space="preserve"> - 평일 오전 부하 상승 시 GEN' 역률 0.96이하로 떨어질 때와 00시에 Excel Sheet 기입 요망 - TGO</t>
    <phoneticPr fontId="1" type="noConversion"/>
  </si>
  <si>
    <t>1. 0:14,10:20 Generator Main Protection 49G Alarm(Thermal Over Load) 발생 -야간 리셋 요망</t>
    <phoneticPr fontId="1" type="noConversion"/>
  </si>
  <si>
    <t xml:space="preserve"> - GEN' Protection Panel 확인결과 Thermal Over Load SP 70% 이상 운전되어 Alarm 발생</t>
    <phoneticPr fontId="1" type="noConversion"/>
  </si>
  <si>
    <t>1.  #2 BLR Bag Filter A-5 Pulsing Air Diaphragm Valve 점검 요청</t>
    <phoneticPr fontId="1" type="noConversion"/>
  </si>
  <si>
    <t>2.  #2 BLR 회전기기 Suction Filter 교체 요청</t>
    <phoneticPr fontId="1" type="noConversion"/>
  </si>
  <si>
    <t>3.  #2 BLR Fly Ash Air Lock Feeder B-1 Aeration XV Actuator Bracket 고정 Bolt 분실 점검</t>
    <phoneticPr fontId="1" type="noConversion"/>
  </si>
  <si>
    <t>4. #1 BLR Bio Dosing Conveyor Vent Fan Filter Bag 교체</t>
    <phoneticPr fontId="1" type="noConversion"/>
  </si>
  <si>
    <t>tm발행</t>
    <phoneticPr fontId="1" type="noConversion"/>
  </si>
  <si>
    <t>tm발행</t>
    <phoneticPr fontId="1" type="noConversion"/>
  </si>
  <si>
    <t>tm발행</t>
    <phoneticPr fontId="1" type="noConversion"/>
  </si>
  <si>
    <t>tm발행</t>
    <phoneticPr fontId="1" type="noConversion"/>
  </si>
  <si>
    <t>5. 1,2 Bag Filter Offline Mode 실시</t>
    <phoneticPr fontId="1" type="noConversion"/>
  </si>
  <si>
    <t>6. Sanitary Sewage Sump Pump  Panel 내부 Step Relay 전환 불가 상태로 점검 요청.</t>
    <phoneticPr fontId="1" type="noConversion"/>
  </si>
  <si>
    <t>tm발행</t>
    <phoneticPr fontId="1" type="noConversion"/>
  </si>
  <si>
    <t>1. 신입사원그룹교육 : 전민정 주임(대근자 최연호 주임)</t>
    <phoneticPr fontId="1" type="noConversion"/>
  </si>
  <si>
    <t>1. 신입사원그룹교육 : 전민정 주임(대근자 김덕용 주임)</t>
    <phoneticPr fontId="1" type="noConversion"/>
  </si>
  <si>
    <t>[TM회의]</t>
    <phoneticPr fontId="1" type="noConversion"/>
  </si>
  <si>
    <t xml:space="preserve"> ○ 내일부터 운전파트 교대직 BO1 또는 BO2 휴가자 발생시 주간시간 대근자는 현재 효율파트 일근지 최수민 주임 대근자 투입 요망 [운전파트+공통]</t>
    <phoneticPr fontId="1" type="noConversion"/>
  </si>
  <si>
    <t xml:space="preserve"> ○ Fly Ash 발생량 적정한지 효율파트에서도 검토 요망 [이성진+송관석]</t>
    <phoneticPr fontId="1" type="noConversion"/>
  </si>
  <si>
    <t xml:space="preserve"> * (안전팀) 대표님 순잘 지적사항 등 각팀 안전 및 개선조치 요청사항 조치결과 Feedback 요망 [공통]</t>
    <phoneticPr fontId="1" type="noConversion"/>
  </si>
  <si>
    <t xml:space="preserve"> * (안전팀) TT01 지하1층 메쉬망 추가설치, 보조보일러 1층 자재 정리 및 Fence 설치 등 조치 요망 [참고]</t>
    <phoneticPr fontId="1" type="noConversion"/>
  </si>
  <si>
    <t xml:space="preserve"> ○ 미이용산림 및 축분 연료 혼소 관련 통합환경영향평가 어제 승인됨.  환경팀 많은 수고하였음.  탈석탄 관련 업무도 환경팀에서 공무역할 수행하며, TFT에서도 관련인원 4명만 주업무 수행하는 상황 [참고]</t>
    <phoneticPr fontId="1" type="noConversion"/>
  </si>
  <si>
    <t xml:space="preserve"> - 금일 및 명일(수,목) Fly Ash 반출 Arm Roll 차량 2대/일 반출 예정.  금일도 유기성고형연료는 운영지원팀에서 배차량 축소 예상/  어제 발생한 발전기 Thermal Alarm은 아직 Reset은 안된상태 [참고]</t>
    <phoneticPr fontId="1" type="noConversion"/>
  </si>
  <si>
    <t xml:space="preserve"> - 입고탄 26-1항차 ADB기준 회분함량 6.7% 너무 낮은거 같으므로 재분석 요망 [환경팀]</t>
    <phoneticPr fontId="1" type="noConversion"/>
  </si>
  <si>
    <t xml:space="preserve"> * (기계팀) 금일 1호기 유기성고형연료 Blower #B는 신설한 축분이송 블로워로 교체 설치 예정 [참고]</t>
    <phoneticPr fontId="1" type="noConversion"/>
  </si>
  <si>
    <t xml:space="preserve"> ○ 구미발전소 GIS문제로 Shutdown 됨.  원인 확인 요망 [전기제어팀]</t>
    <phoneticPr fontId="1" type="noConversion"/>
  </si>
  <si>
    <t xml:space="preserve"> ○ 환경팀 충원 어려울것 같음. 전기제어팀 김지우대리 결원시 최수민 주임 투입 또는 최수민주임 운전파트 및 운전파트원 기계팀 이동 건은 미정상태로 좀더 검토 필요 예상 [참고]</t>
    <phoneticPr fontId="1" type="noConversion"/>
  </si>
  <si>
    <t>[설비운영팀]</t>
    <phoneticPr fontId="1" type="noConversion"/>
  </si>
  <si>
    <t xml:space="preserve"> - 최수민 주임 교대직 대근자 투입건 관련부서 협의결과 안전팀에서는 월단위 교대직 투입 및 복귀시 각각 1회/월 작업방법변경 교육 요망, 경영관리실은 일근자 추가 근무 할증하여 보상휴무 실시 필요.  부문장님 추가협의 결과 방덕윤주임 결혼 휴가기간은 교대운전직 발령후 일근직 복귀 방안 검토 [팀장+최수민,참고]</t>
    <phoneticPr fontId="1" type="noConversion"/>
  </si>
  <si>
    <t xml:space="preserve"> - 여유있을때 터빈동 1층 바닥등 오염 심한 곳은 청소요망.  Fly Ash Wet Unloading 작업시 안전작업 지원 요망 [운전파트]</t>
    <phoneticPr fontId="1" type="noConversion"/>
  </si>
  <si>
    <t xml:space="preserve"> - 금요일부터 BO1 또는 BO2 대근자 최수민 주임으로 신속 수정 계획 요망 [파트장+운전파트], 차주 경영관리실에서 9월 중간 일시적 교대직 발령 가능시 요청 업무연락 준비 [송관석]</t>
    <phoneticPr fontId="1" type="noConversion"/>
  </si>
  <si>
    <t>TM 발행</t>
    <phoneticPr fontId="1" type="noConversion"/>
  </si>
  <si>
    <t>TM 발행</t>
    <phoneticPr fontId="1" type="noConversion"/>
  </si>
  <si>
    <t>3. #1 BLR Flue Gas O2 Analyzer #A Calibration 점검 요망</t>
    <phoneticPr fontId="1" type="noConversion"/>
  </si>
  <si>
    <t>5. #1 BLR Bed Ash Air Lock Feeder Discharge Dome Valve Air Leak 발생관련 Dome V/V 교체 후 정상화_TM 작업</t>
    <phoneticPr fontId="1" type="noConversion"/>
  </si>
  <si>
    <t>6. #1 BLR 유기성 고형연료 1-B(축분쪽 이설) 부하 기동 실시 후 Line Purge 완료함</t>
    <phoneticPr fontId="1" type="noConversion"/>
  </si>
  <si>
    <t>4. Fly Ash Wet Unloader 배출 - Ammonia 냄새 심하므로 마스크 필히 착용하여 작업 필요 (20ton이하 반출요망)</t>
    <phoneticPr fontId="1" type="noConversion"/>
  </si>
  <si>
    <t>8. #2 BLR Soot Blower #23 Poppet V/V 점검[T.M작업] - 야간에 동작 상태 점검 필요</t>
    <phoneticPr fontId="1" type="noConversion"/>
  </si>
  <si>
    <t>TM 발행</t>
    <phoneticPr fontId="1" type="noConversion"/>
  </si>
  <si>
    <t>9. #1, 2 BLR SCR Flue Gas NH3 Analyzer 점검 요청</t>
    <phoneticPr fontId="1" type="noConversion"/>
  </si>
  <si>
    <t>10. #2 BLR Bio Reclaimer → Dosing Conveyor Inlet 점검창 상부 Crack</t>
    <phoneticPr fontId="1" type="noConversion"/>
  </si>
  <si>
    <t>팀장님 지시사항</t>
    <phoneticPr fontId="1" type="noConversion"/>
  </si>
  <si>
    <t>* 석탄운전실에 전면마스크, 방독 필터 2set 대여 - 송관석 대리</t>
    <phoneticPr fontId="1" type="noConversion"/>
  </si>
  <si>
    <t>* 야간조 보일러동 전등 이상유무 추가 확인 후 TM 발행 요망 -대표님 지적사항</t>
    <phoneticPr fontId="1" type="noConversion"/>
  </si>
  <si>
    <t>* 최수민 주임 9월 4,9일 대근 확정 - BO1,BO2동시 휴가 발생시 BO1 우선 대근 신청요망</t>
    <phoneticPr fontId="1" type="noConversion"/>
  </si>
  <si>
    <t>1. #2 BLR SA Lower Air Filter Regulator 후단 연결부 Air Leak 점검 요청</t>
    <phoneticPr fontId="1" type="noConversion"/>
  </si>
  <si>
    <t>TM 발행</t>
    <phoneticPr fontId="1" type="noConversion"/>
  </si>
  <si>
    <t>2. #1,#2 BLR Lighting 점등 (#1 : 10개소/ #2 : 12개소 불량 점검 요청(by 대표님 지시사항)</t>
    <phoneticPr fontId="1" type="noConversion"/>
  </si>
  <si>
    <t>3. I.D FAN Area Sump Pump Panel 내부 전등 flicker 상태</t>
    <phoneticPr fontId="1" type="noConversion"/>
  </si>
  <si>
    <t>6. Pressure IPT Bleed To Deaerator Ch.A (Adaptive Stage 전단 Pr.) External Fault 약 1초간</t>
    <phoneticPr fontId="1" type="noConversion"/>
  </si>
  <si>
    <t xml:space="preserve">7. 본관동 급탕탱크의 대류 펌프는 기동 SP 40℃, 정지 45℃로 Setting 후 Auto 전환함 . </t>
    <phoneticPr fontId="1" type="noConversion"/>
  </si>
  <si>
    <t>2. 예비군훈련 : 곽기영 주임(대근자 최수민 주임, D조12hr)</t>
    <phoneticPr fontId="1" type="noConversion"/>
  </si>
  <si>
    <t>1. 민방위 훈련 : 송관석 대리(오후)</t>
    <phoneticPr fontId="1" type="noConversion"/>
  </si>
  <si>
    <t>[전일 오후 부문장님 지시사항 : 최수민주임 근무방식 최종확정건]</t>
    <phoneticPr fontId="1" type="noConversion"/>
  </si>
  <si>
    <t xml:space="preserve"> ○ 최수민 주임은 9/4(금)부터 2층 현장운전원실에서 일근 현장운전원으로 평일 8hr/일 근무(주간시간대 현장원전원 4명으로 운영). BO1 또는 BO2 휴가자 발생시 최수민주임 대근자 투입하고, 초과근무시간은 보상휴무로 정산하여 대체.  주중 및 주말, 휴일 등 D조와 N조 근무 모두 투입토록함.[팀장,최수민+운전파트]</t>
    <phoneticPr fontId="1" type="noConversion"/>
  </si>
  <si>
    <t>[TM회의]</t>
    <phoneticPr fontId="1" type="noConversion"/>
  </si>
  <si>
    <r>
      <t xml:space="preserve"> ○ </t>
    </r>
    <r>
      <rPr>
        <sz val="10"/>
        <color rgb="FF0000FF"/>
        <rFont val="맑은 고딕"/>
        <family val="3"/>
        <charset val="129"/>
      </rPr>
      <t>설비운영팀에서는 Fly Ash 과다발생 원인 검토 요망[이성진+송관석]</t>
    </r>
    <r>
      <rPr>
        <sz val="10"/>
        <color rgb="FF000000"/>
        <rFont val="맑은 고딕"/>
        <family val="3"/>
        <charset val="129"/>
      </rPr>
      <t>.   환경팀에서는 26-1항차 Ash함량 재분석하여 설비운영팀 재공 요망 [환경팀]</t>
    </r>
    <phoneticPr fontId="1" type="noConversion"/>
  </si>
  <si>
    <t xml:space="preserve"> * (기계팀) 금주 주말작업 : BC205 Side Skirt 개선작업.  토요일 오전에 연료 15대 입고후 오후부터 일요일까지 본작업 예정. 1호기 Bed Ash V/S 후단 Chute 변경작업 [참고]</t>
    <phoneticPr fontId="1" type="noConversion"/>
  </si>
  <si>
    <t xml:space="preserve"> ○ 1호기 유기성 Blower Bearing 윤활유 부족이라고하므로 윤활관리 철저.  Bio BF202 Rotary Feeder 소음 점검 요망 [기계팀]</t>
    <phoneticPr fontId="1" type="noConversion"/>
  </si>
  <si>
    <t>[설비운영팀]</t>
    <phoneticPr fontId="1" type="noConversion"/>
  </si>
  <si>
    <t xml:space="preserve"> ○ 환경팀에서는 보조보일러용 연수설비 철거해도 되는지 검토해서 불필요하면 철거토록 검토 요망 [환경팀]</t>
    <phoneticPr fontId="1" type="noConversion"/>
  </si>
  <si>
    <t xml:space="preserve"> ○ (주간회의자료 사전 Review) 설비 신설후 시운전 관련 내용은 기계팀에서 기록하고 설비운영팀은 시운전후 정상운전시 문제점 등을 주간회의자료에 기록 요망 [효율파트]</t>
    <phoneticPr fontId="1" type="noConversion"/>
  </si>
  <si>
    <t>[주간회의]</t>
    <phoneticPr fontId="1" type="noConversion"/>
  </si>
  <si>
    <t xml:space="preserve"> ◎ 주간회의자료 첫페이지 "주간 판매/매출" 내용 월별 추이, 예상 영업이익 등 전체 Trend 읽을수 있는 자료료 개선 요망 [경영관리실]</t>
    <phoneticPr fontId="1" type="noConversion"/>
  </si>
  <si>
    <t xml:space="preserve"> ◎ 기계팀 내년 사업계획 수립시 인력 부족시 충원요청할 것.  인원부족으로 휴가사용 어려운 상황 없도록 [기계팀]</t>
    <phoneticPr fontId="1" type="noConversion"/>
  </si>
  <si>
    <t xml:space="preserve"> ◎ 김지우대리 6개월 휴직관련 전기제어팀 인원보충 없음 [전기제어팀]</t>
    <phoneticPr fontId="1" type="noConversion"/>
  </si>
  <si>
    <t xml:space="preserve"> * (안전팀) 고용노동청 현장조사시 소량 Oil 현장보관 지적건은 보관의 문제가 아니라 MSDS 현장 미비치사항임 [참고]</t>
    <phoneticPr fontId="1" type="noConversion"/>
  </si>
  <si>
    <t xml:space="preserve"> ◎ 외부인 설비 견학시 안전모 착용은 기본이고 안전화도 착용 필요 [안전팀]</t>
    <phoneticPr fontId="1" type="noConversion"/>
  </si>
  <si>
    <t xml:space="preserve"> ◎ 운영지원팀은 발전소 안전운영을 위한 유기성연료 조달 및 Ash 반출 등 운영지원 업무에 중점화 요망.[운영지원팀]</t>
    <phoneticPr fontId="1" type="noConversion"/>
  </si>
  <si>
    <t xml:space="preserve"> * (사업개발팀) 미이용산림 및 가축분뇨 혼소시 REC 인정위해 연료공급 계약 필요. 가축분뇨는 포천시 사용승인 추가 필요 [참고]</t>
    <phoneticPr fontId="1" type="noConversion"/>
  </si>
  <si>
    <t xml:space="preserve"> - 9/4(금) 부터 BO1, BO2 휴가자 대근 최수민 주임 투입관련, 특히 2~3개월 동안 허리 힘 강하게 사용하는 현장작업 최수민 주임 자제토록 협조 요망 [파트장+운전파트]</t>
    <phoneticPr fontId="1" type="noConversion"/>
  </si>
  <si>
    <t xml:space="preserve"> - Fly Ash Wet Unloading설비 이용 외부반출시 자이E 운전원 주요작업하더라도 발주처 에서도 2명정도 배출작업 현장 지원 요망[운전파트+효율]</t>
    <phoneticPr fontId="1" type="noConversion"/>
  </si>
  <si>
    <t xml:space="preserve"> - 설비 오염구역, 미정리 폐자제 등 순찰시 확인햐여 자율적 설비 청결관리 요망. [운전파트+효율]</t>
    <phoneticPr fontId="1" type="noConversion"/>
  </si>
  <si>
    <t>2. 배우자 출산휴가(9/11~16, 3+3) : 김현상 대리(대근자 양영균 대리)</t>
    <phoneticPr fontId="1" type="noConversion"/>
  </si>
  <si>
    <t>2. 배우자 출산휴가(9/11~16, 3+3) : 김현상 대리(대근자 고석훈 대리)</t>
    <phoneticPr fontId="1" type="noConversion"/>
  </si>
  <si>
    <t>2. 배우자 출산휴가(9/11~16, 3+3) : 김현상 대리(대근자 양영균 대리)</t>
    <phoneticPr fontId="1" type="noConversion"/>
  </si>
  <si>
    <t>1. 연차휴가 : 김덕용 주임(대근자 박건 주임)</t>
    <phoneticPr fontId="1" type="noConversion"/>
  </si>
  <si>
    <t>1. BFP #C Discharge Nozzle PI Maniford 상부 Leakage 점검 요청</t>
    <phoneticPr fontId="1" type="noConversion"/>
  </si>
  <si>
    <t>2. HP Process Steam #A-1 Train Letdown Spray Water 인입부 Leakage 점검 요청</t>
    <phoneticPr fontId="1" type="noConversion"/>
  </si>
  <si>
    <t>TM발행</t>
    <phoneticPr fontId="1" type="noConversion"/>
  </si>
  <si>
    <t>TM발행</t>
    <phoneticPr fontId="1" type="noConversion"/>
  </si>
  <si>
    <t>3. #1 Bio Dosing Conveyor Bag Filter 교체 완료</t>
    <phoneticPr fontId="1" type="noConversion"/>
  </si>
  <si>
    <t>6. #2 Bed Ash Screw Conveyot 303 취부 완료 - 상태양호</t>
    <phoneticPr fontId="1" type="noConversion"/>
  </si>
  <si>
    <t>7. Fly Ash Silo Wet Unloader 기동 및 배출 지원</t>
    <phoneticPr fontId="1" type="noConversion"/>
  </si>
  <si>
    <t>8. #1, 2 BLR Bio Screw 주변 청소</t>
    <phoneticPr fontId="1" type="noConversion"/>
  </si>
  <si>
    <t>9. #2 Bed Ash 반출장 상부 청소</t>
    <phoneticPr fontId="1" type="noConversion"/>
  </si>
  <si>
    <t>3. 유기성 고형연료 1-B Blower 전류치 16A, 소음 및 진동 발생확인, 후단 Safety Line 이탈 확인</t>
    <phoneticPr fontId="1" type="noConversion"/>
  </si>
  <si>
    <t xml:space="preserve"> - 축분쪽 신설 Blower 이설 후 1-B측에 설치하여 기동 예정(명일까지 이설 작업계속) / 1-B는 반출 예정</t>
    <phoneticPr fontId="1" type="noConversion"/>
  </si>
  <si>
    <t>6. #2 BLR Soot Blower #23 Poppet Valve 위치 조정 하여 점검 완료 - 야간 Soot Blower 진행시 확인 요망</t>
    <phoneticPr fontId="1" type="noConversion"/>
  </si>
  <si>
    <t>* Bed Ash Scrap Box 명일 폐기물로 배출예정 - 명일 8894 차량으로 우선 처리 요망</t>
    <phoneticPr fontId="1" type="noConversion"/>
  </si>
  <si>
    <t>1. #1 BLR 유기성 고형연료 Rotary #B 상부 Slide Gate 동작 불량</t>
    <phoneticPr fontId="1" type="noConversion"/>
  </si>
  <si>
    <t>2. #1,2 BLR 유기성 고형연료 Blower Suction Filter Cleaning 요청</t>
    <phoneticPr fontId="1" type="noConversion"/>
  </si>
  <si>
    <t>7. #2 BLR Bio Dosing Convayor Vent Filter Fan Bag 교체 완료[T.M작업]</t>
    <phoneticPr fontId="1" type="noConversion"/>
  </si>
  <si>
    <t>4. 터빈동 1층 물청소</t>
    <phoneticPr fontId="1" type="noConversion"/>
  </si>
  <si>
    <t>5. 19:47 Generator Thermal Overload(49G) Alarm 자연 해제 됨._명일 전기제어팀 출근 시 확인 후 Reset 요망</t>
    <phoneticPr fontId="1" type="noConversion"/>
  </si>
  <si>
    <t>4. #1 Bed Ash B/E-602,603 Pin-Hole 부위 용접 완료</t>
    <phoneticPr fontId="1" type="noConversion"/>
  </si>
  <si>
    <t>5. 유기성 Storage Silo #A 방폭판 교체 완료</t>
    <phoneticPr fontId="1" type="noConversion"/>
  </si>
  <si>
    <t>1. #1 BLR Bio Rotary FDR #B 상부 막힘 발생 : 막힘해소 및 주변 청소 실시</t>
    <phoneticPr fontId="1" type="noConversion"/>
  </si>
  <si>
    <t>2. #2 BLR Bed Ash Bucket Elevator-602 하부 Casing 조립 완료</t>
    <phoneticPr fontId="1" type="noConversion"/>
  </si>
  <si>
    <t>3. #2 BLR Bed Ash Arm Roll Box 교체 실시</t>
    <phoneticPr fontId="1" type="noConversion"/>
  </si>
  <si>
    <t>5. Boiler Air Compressor #B 무부하 운전 30분 실시</t>
    <phoneticPr fontId="1" type="noConversion"/>
  </si>
  <si>
    <t>6. 터빈동 3층 청소 실시</t>
    <phoneticPr fontId="1" type="noConversion"/>
  </si>
  <si>
    <t>4. #2 BLR Soot Blower #23 Poppet Valve 고착 발생 : 추타 후 고착 해소 실시</t>
    <phoneticPr fontId="1" type="noConversion"/>
  </si>
  <si>
    <t>1. 연차휴가 : 이휘근 과장(대근자 서동인 과장), 한동혁 대리(대근자 최수민 주임), 김덕용 주임(대근자 박건 주임), 방덕윤 주임(대근자 곽기영 주임)</t>
    <phoneticPr fontId="1" type="noConversion"/>
  </si>
  <si>
    <t>1. 연차휴가 : 고석훈 대리(대근자 김현상 대리)</t>
    <phoneticPr fontId="1" type="noConversion"/>
  </si>
  <si>
    <t>1. 연차휴가 : 이휘근 과장(대근자 박문수 과장), 김민중 대리(대근자 최혜민 과장), 이성진 과장, 박수원팀장(오전 건강검진, 오후반차)</t>
    <phoneticPr fontId="1" type="noConversion"/>
  </si>
  <si>
    <t>일근현장운전원</t>
    <phoneticPr fontId="1" type="noConversion"/>
  </si>
  <si>
    <t>[TM회의]</t>
    <phoneticPr fontId="1" type="noConversion"/>
  </si>
  <si>
    <t xml:space="preserve"> ○ Fly Ash 과다발생 원인 신속히 검토하여 차주 화요일 대표님께 보고 요망. 유연탄, 유기성, Bio 등 Ash 함량 고려시 비정상적으로 과다배출됨. 운전 잘못되고 있을수도 있으므로 운전상태 적절한지도 검토 필요 [이성진,송관석+운전파트]</t>
    <phoneticPr fontId="1" type="noConversion"/>
  </si>
  <si>
    <t xml:space="preserve"> ○ 4주차 화요일 TM회의에는 자이E운영 기계팀장 및 전기제어팀장도 회의 참석 요망 [자이E]</t>
    <phoneticPr fontId="1" type="noConversion"/>
  </si>
  <si>
    <t xml:space="preserve"> * (기계팀) 금주 주말작업 계획 : BC205 Side Skirt 개선, BC206 감지기, 1호기 Bed Ash 잡출물 배출 Chute 위치 이동(암롤박스 중앙부로) [참고]</t>
    <phoneticPr fontId="1" type="noConversion"/>
  </si>
  <si>
    <t xml:space="preserve"> ○ 주말 작업시 BF202,203 Rotary Feeder 소음 점검 요망 [기계팀]</t>
    <phoneticPr fontId="1" type="noConversion"/>
  </si>
  <si>
    <t>[설비운영팀]</t>
    <phoneticPr fontId="1" type="noConversion"/>
  </si>
  <si>
    <t xml:space="preserve"> - 주말에 주보일러 1,2호기 분담하여 오염구역 청소 철저.  주보일러 중앙계단 등 저층부 주요통로 거미줄 제거 요망.  여유 있으면 보조보일러 1층 바닥 건식으로하도 청소 요망(오염 심함) [운전파트]</t>
    <phoneticPr fontId="1" type="noConversion"/>
  </si>
  <si>
    <t xml:space="preserve"> - Fly Ash 발생량 과다건 관련 운전상태 특이사항 또는 과다발생 원인 발생시 효출파트 신속 정보 공유 요망. 월요일까지 검토하여 화요일 보고 예정[운전파트+효율]</t>
    <phoneticPr fontId="1" type="noConversion"/>
  </si>
  <si>
    <t xml:space="preserve"> - 주말 설비운전 특이사항 발생시 신속 상황 공유 요망. 주말 정비부서 개선 및 정비작업 협조 운전. 설비 안전운전 및 안전관리 철저 [운전파트]</t>
    <phoneticPr fontId="1" type="noConversion"/>
  </si>
  <si>
    <t>2. #2 BLR TAH Air Lock Feeder Discharge Dome Valve[ETG22AA104] 작동 불량 점검 요청</t>
    <phoneticPr fontId="1" type="noConversion"/>
  </si>
  <si>
    <t>3. #2 BLR 유기성 고형연료 Blower #B 토출 Line 점검요망</t>
    <phoneticPr fontId="1" type="noConversion"/>
  </si>
  <si>
    <t>1. #1 BLR FBHE Blower #A V-Belt 교체요청</t>
    <phoneticPr fontId="1" type="noConversion"/>
  </si>
  <si>
    <t>TM발행-작업완료</t>
    <phoneticPr fontId="1" type="noConversion"/>
  </si>
  <si>
    <t>TM발행</t>
    <phoneticPr fontId="1" type="noConversion"/>
  </si>
  <si>
    <t>4. #1 Bag Filter 'A-5' Inlet Dome Valve 교체작업 완료</t>
    <phoneticPr fontId="1" type="noConversion"/>
  </si>
  <si>
    <t>5. 10:39 #1 FBHE Blower #A → #C 교체운전실시 - #A V-Belt 교체완료 및 Stand By</t>
    <phoneticPr fontId="1" type="noConversion"/>
  </si>
  <si>
    <t>6. #1,2 SDA Hopper Ash 배출 - 톤백 2EA</t>
    <phoneticPr fontId="1" type="noConversion"/>
  </si>
  <si>
    <t xml:space="preserve">7. #1,2 BLR 유기성 고형연료 Blower Sucting Filter 교체 </t>
    <phoneticPr fontId="1" type="noConversion"/>
  </si>
  <si>
    <t xml:space="preserve"> - 주말 Bed Ash 차량 배차 없음, 차주 월요일 부터 4대 입고예정</t>
    <phoneticPr fontId="1" type="noConversion"/>
  </si>
  <si>
    <t xml:space="preserve"> - Bio 상탄설비 Belt Conveyor 205 작업으로 상탄불가 (토 08:00 ~ 일 16:00)</t>
    <phoneticPr fontId="1" type="noConversion"/>
  </si>
  <si>
    <t xml:space="preserve"> - Fly Ash Sampling은 9/6 N/S (9/7, 02:00) 실시 요함 - 9/7 오전에 분석예정 (효율팀 요청)</t>
    <phoneticPr fontId="1" type="noConversion"/>
  </si>
  <si>
    <t xml:space="preserve"> - 9/7 #1,2 Bed Ash Room 중장비 지원 청소 예정</t>
    <phoneticPr fontId="1" type="noConversion"/>
  </si>
  <si>
    <t>1. #2 BLR Bio Reclaimer 구리스 투입 라인 점검 요청 : 투입 라인 막힘 의심</t>
    <phoneticPr fontId="1" type="noConversion"/>
  </si>
  <si>
    <t>2. #1 Bed Ash Air Lock Feeder 후단 막힘 : Bed Ash 이송불가</t>
    <phoneticPr fontId="1" type="noConversion"/>
  </si>
  <si>
    <t>TM발행</t>
    <phoneticPr fontId="1" type="noConversion"/>
  </si>
  <si>
    <t>TM발행</t>
    <phoneticPr fontId="1" type="noConversion"/>
  </si>
  <si>
    <t>4. Boiler Air Compressor #B, C 무부하 운전 30분 실시</t>
    <phoneticPr fontId="1" type="noConversion"/>
  </si>
  <si>
    <t>3. #2 BLR SDA Atomizer Lube Oil 충유 실시</t>
    <phoneticPr fontId="1" type="noConversion"/>
  </si>
  <si>
    <t>5. 월간 소화기 점검 실시</t>
    <phoneticPr fontId="1" type="noConversion"/>
  </si>
  <si>
    <t>6. #1, 2 BLR Bio System 주변 청소실시</t>
    <phoneticPr fontId="1" type="noConversion"/>
  </si>
  <si>
    <t>1.  #2 BLR Fly Ash Air Lock Feeder 'A-3' Discharge Dome Valve Seat 손상 점검 요청</t>
    <phoneticPr fontId="1" type="noConversion"/>
  </si>
  <si>
    <t>2. #2 BLR Fly Ash Air Lock Feeder 'A-1' Discharge Dome Valve Seat 손상 점검 요청</t>
    <phoneticPr fontId="1" type="noConversion"/>
  </si>
  <si>
    <t>4. 보조보일러 Compressor 무부하 기동 테스트 및 BFP Hand Turning 실시</t>
    <phoneticPr fontId="1" type="noConversion"/>
  </si>
  <si>
    <t>5. #1 Bed Ash 잡철물 배출 Chute 위치조정 작업 완료</t>
    <phoneticPr fontId="1" type="noConversion"/>
  </si>
  <si>
    <t>3.  [TM작업]#1 Bed Ash Air Lock Feeder Disch' Line 관통작업 완료</t>
    <phoneticPr fontId="1" type="noConversion"/>
  </si>
  <si>
    <t>6. 보조보일러 1F 청소 실시&amp; 1호기 7-5F 청소 실시</t>
    <phoneticPr fontId="1" type="noConversion"/>
  </si>
  <si>
    <t>tm 발행</t>
    <phoneticPr fontId="1" type="noConversion"/>
  </si>
  <si>
    <t>1. #2 BLR Bio Feeding System 정지</t>
    <phoneticPr fontId="1" type="noConversion"/>
  </si>
  <si>
    <t>- Screw Feeder측 글라스울 설치, Manual Slide Gate Close, Hopper Bin 청소 실시</t>
    <phoneticPr fontId="1" type="noConversion"/>
  </si>
  <si>
    <t>3. BLR Compressor #B 무부하 운전 30분 실시</t>
    <phoneticPr fontId="1" type="noConversion"/>
  </si>
  <si>
    <t>2. BFP #A 주변, #1 BLR 4.5~2층및 거미줄 제거 청소 실시</t>
    <phoneticPr fontId="1" type="noConversion"/>
  </si>
  <si>
    <t>팀장님 지시사항</t>
    <phoneticPr fontId="1" type="noConversion"/>
  </si>
  <si>
    <t>3.  #1,2  BLR FBHE Blower Suction Filter 교체요청</t>
    <phoneticPr fontId="1" type="noConversion"/>
  </si>
  <si>
    <t>tm 발행</t>
    <phoneticPr fontId="1" type="noConversion"/>
  </si>
  <si>
    <t>4. NG System 주간점검 실시</t>
    <phoneticPr fontId="1" type="noConversion"/>
  </si>
  <si>
    <t>2.  2호기 보일러 7-5F 청소 실시</t>
    <phoneticPr fontId="1" type="noConversion"/>
  </si>
  <si>
    <t>1.  1,2 Fly Ash Handling System Fast Mode 전환_ 발생량 Raw data test</t>
    <phoneticPr fontId="1" type="noConversion"/>
  </si>
  <si>
    <t>1. 2호기 4.5-2F 청소및 거미줄 제거, 터빈동 1층 거미줄 제거 실시</t>
    <phoneticPr fontId="1" type="noConversion"/>
  </si>
  <si>
    <t>2. #1,2 BLR Fly Ash Sampling 실시</t>
    <phoneticPr fontId="1" type="noConversion"/>
  </si>
  <si>
    <t>3. 1,2호기 Flue Gas CO Analyzer 점검 요청</t>
    <phoneticPr fontId="1" type="noConversion"/>
  </si>
  <si>
    <t>4. [HCB30AT004] #2 BLR Soot Blower #5 Gland 측 Steam Leak</t>
    <phoneticPr fontId="1" type="noConversion"/>
  </si>
  <si>
    <t>TM 발행</t>
    <phoneticPr fontId="1" type="noConversion"/>
  </si>
  <si>
    <t>TM 발행</t>
    <phoneticPr fontId="1" type="noConversion"/>
  </si>
  <si>
    <t>5. #1,2 BLR BLR Soot Blower 주간점검 실시</t>
    <phoneticPr fontId="1" type="noConversion"/>
  </si>
  <si>
    <t xml:space="preserve">1. #2 BLR Limestone Rotary Feeder #B Gland Leak : Gland Tighting 했지만 계속 Leak 중 </t>
    <phoneticPr fontId="1" type="noConversion"/>
  </si>
  <si>
    <t>2. #1 BLR Bio Reclaimer Grease 자동 주입기 Air Line 호스 교체 요청</t>
    <phoneticPr fontId="1" type="noConversion"/>
  </si>
  <si>
    <t>TM발행</t>
    <phoneticPr fontId="1" type="noConversion"/>
  </si>
  <si>
    <t>1. 연차휴가 : 최수민 주임</t>
    <phoneticPr fontId="1" type="noConversion"/>
  </si>
  <si>
    <t>3. #2 BLR Eco Air Lock Feeder #B Discharge Dome Valve Close 불량</t>
    <phoneticPr fontId="1" type="noConversion"/>
  </si>
  <si>
    <t>4. #2 BLR Eco Air Lock Feeder #A Equlaizing Valve 상층부 Ash Leak</t>
    <phoneticPr fontId="1" type="noConversion"/>
  </si>
  <si>
    <t>5. #1 BLR 유기성 고형연료 Rotary Feeder #B 기동 불량 : Motor 기동되나 Rotary 동작안됨</t>
    <phoneticPr fontId="1" type="noConversion"/>
  </si>
  <si>
    <t>TM발행</t>
    <phoneticPr fontId="1" type="noConversion"/>
  </si>
  <si>
    <t>TM발행</t>
    <phoneticPr fontId="1" type="noConversion"/>
  </si>
  <si>
    <t>6. Fly Ash Wet Unloader 배출 지원 실시 : Arm Roll Box 차량 2대</t>
    <phoneticPr fontId="1" type="noConversion"/>
  </si>
  <si>
    <t>7. #1 BLR Bed Ash Magnetic Separator 점검 결과 특이 사항 없어 Relay 교체 실시 : 추이 관찰 예정</t>
    <phoneticPr fontId="1" type="noConversion"/>
  </si>
  <si>
    <t>8. #1 BLR Main Steam Bypass MOV, DSH-1 Spray MOV 점검 실시 : 특이사항 없으며 현재 동작 테스트 불가</t>
    <phoneticPr fontId="1" type="noConversion"/>
  </si>
  <si>
    <t>추후 정지 시 점검</t>
    <phoneticPr fontId="1" type="noConversion"/>
  </si>
  <si>
    <t>9. #1 BLR Bed Ash Bucket EL-603 Outlet Chute (5F) Pinhole 부위 덧댐 용접 작업 완료</t>
    <phoneticPr fontId="1" type="noConversion"/>
  </si>
  <si>
    <t>10. #1 BLR FBHE Blower Suction Filter 교체 완료</t>
    <phoneticPr fontId="1" type="noConversion"/>
  </si>
  <si>
    <t>11. #1 BLR Soot Blower #14 Poppet Valve 스프링 장력 조절 실시 : 기동 테스트 양호</t>
    <phoneticPr fontId="1" type="noConversion"/>
  </si>
  <si>
    <t>12. #2 BLR Limestone Rotary Feeder #B Gland Leak 되어 Packing 교체 완료</t>
    <phoneticPr fontId="1" type="noConversion"/>
  </si>
  <si>
    <t>13. #2 BLR Soot Blower #5 Gland Packing 추가 작업 실시 : 야간 조 확인요망</t>
    <phoneticPr fontId="1" type="noConversion"/>
  </si>
  <si>
    <t>추이 관찰 요망</t>
    <phoneticPr fontId="1" type="noConversion"/>
  </si>
  <si>
    <t>15. #2 BLR TAH Air Lock Feeder #B Discharge Dome Valve 내부 Ash 해소 후 Open/Close 상태 양호</t>
    <phoneticPr fontId="1" type="noConversion"/>
  </si>
  <si>
    <t>16. #2 BLR 유기성 고형연료 Blower #B 토출 Line 점검 실시 : Ejector 내부 이물질 제거 후 Air Purge 정상화</t>
    <phoneticPr fontId="1" type="noConversion"/>
  </si>
  <si>
    <t>17. HP Process STM Spray Water Leak건 명일 비계 설치하여 보온재 해제후 확인 예정</t>
    <phoneticPr fontId="1" type="noConversion"/>
  </si>
  <si>
    <t>14. #2 BLR Bio Reclaimer 구리스 투입라인 막힘 점검 결과 투입라인 문제 없음 : 구리스 투입 시간 8분으로 조정</t>
    <phoneticPr fontId="1" type="noConversion"/>
  </si>
  <si>
    <t>TM발행 : 작업완료</t>
    <phoneticPr fontId="1" type="noConversion"/>
  </si>
  <si>
    <t>1. #2 Bed Ash Air Lock Feeder Discharge 막힘 및 Pinhole 발생</t>
    <phoneticPr fontId="1" type="noConversion"/>
  </si>
  <si>
    <t>2. #2 BLR Soot Blower #23 Poppet Vavle Close 불량</t>
    <phoneticPr fontId="1" type="noConversion"/>
  </si>
  <si>
    <t>TM발행</t>
    <phoneticPr fontId="1" type="noConversion"/>
  </si>
  <si>
    <t>TM발행</t>
    <phoneticPr fontId="1" type="noConversion"/>
  </si>
  <si>
    <t>TM발행</t>
    <phoneticPr fontId="1" type="noConversion"/>
  </si>
  <si>
    <t xml:space="preserve">4.  02:00 Fly Ash Sampling 실시 </t>
    <phoneticPr fontId="1" type="noConversion"/>
  </si>
  <si>
    <t xml:space="preserve">5. #1,2 Bio Hopper BIn 청소 실시 </t>
    <phoneticPr fontId="1" type="noConversion"/>
  </si>
  <si>
    <t>6. #1,2 BLR 5~6.5층 벅스테이 및 오염 부위 청소 실시</t>
    <phoneticPr fontId="1" type="noConversion"/>
  </si>
  <si>
    <t>3. #1 Arm Roll Box 교체 후 New Arm Roll Box 셔터 옆측으로 배치</t>
    <phoneticPr fontId="1" type="noConversion"/>
  </si>
  <si>
    <t>1. 연차휴가 : 김형준 차장(대근자 하태곤 차장), 김민중 대리(대근자 변정률 주임)</t>
    <phoneticPr fontId="1" type="noConversion"/>
  </si>
  <si>
    <t>3. 결혼 경조휴가(9/11~16) : 방덕윤 주임(대근자 최수민 주임)</t>
    <phoneticPr fontId="1" type="noConversion"/>
  </si>
  <si>
    <t>[TM회의]</t>
    <phoneticPr fontId="1" type="noConversion"/>
  </si>
  <si>
    <t>[설비운영팀]</t>
    <phoneticPr fontId="1" type="noConversion"/>
  </si>
  <si>
    <t xml:space="preserve"> - 금일 오전 1,2호기 Bed Ash 반출장 바닥 Ash 장비 이용 정리 예정[설비운영+자이E]</t>
    <phoneticPr fontId="1" type="noConversion"/>
  </si>
  <si>
    <t xml:space="preserve"> - 1,2호기 Fly Ash 성분분석결과 미연탄소분 높으므로 오늘부터 연소 조정 예정. 긴급 연소 조정에 따른 Fly Ash 성분분석 협조 요망 [환경팀=&gt; 협조 가능]</t>
    <phoneticPr fontId="1" type="noConversion"/>
  </si>
  <si>
    <t xml:space="preserve"> * (안전팀) 어제 취합한 26년도 정기위헙성평가 취합자료 안전팀에서 Review후 각팀 Feedback 예정 [참고]</t>
    <phoneticPr fontId="1" type="noConversion"/>
  </si>
  <si>
    <t xml:space="preserve"> * (기계팀) 한전산업개발에서 어제부터 진행하고 있는 고압터빈 감속기 진동 Data Pick-up는 금일 오전에 완료 예정. 분석결과는 추후 제공받을 예정[참고]</t>
    <phoneticPr fontId="1" type="noConversion"/>
  </si>
  <si>
    <t xml:space="preserve"> * (기계팀) 내일(9/9.(수)) 유기성고형연료 Emergency Screw 감속기 교체, 흔들리는 Support 보완 등 작업 예정.  Emergency Feeder 부하테스트은 추후 공지 예정[참고]</t>
    <phoneticPr fontId="1" type="noConversion"/>
  </si>
  <si>
    <t xml:space="preserve"> - 금일(9/8) 10시부터 1,2호기 연소실 하부 운전온도 약 10도 상향 운전 요망.  그리고 내일 새벽 02시 1,2호기 Fly Ash Sampling하여 오전에 환경팀에 성분분석 의뢰 요망. Sampling시 정확도 있게 시료 잘 채취 요망(초기 취득 Sample은 버릴것) [운전파트+효율]</t>
    <phoneticPr fontId="1" type="noConversion"/>
  </si>
  <si>
    <t xml:space="preserve"> - Fly Ash 발생량 증가 원인, 감소방안 관련 운전파트 의견 있으면 효율파트 신속 공유 요망.  미연탄소 감소 운전 관련 설비 상태 및 기타 영향(석회석 투입량 급증 등) 관리 철저 [운전파트]</t>
    <phoneticPr fontId="1" type="noConversion"/>
  </si>
  <si>
    <t xml:space="preserve"> - 각 파트 안전교육, 직무교육 등 교육자료 팀장 메일로 공유 보고 요망 [운전파트]</t>
    <phoneticPr fontId="1" type="noConversion"/>
  </si>
  <si>
    <t>1. 연차휴가 : 오현주 부장(대근자 이성진 과장)</t>
    <phoneticPr fontId="1" type="noConversion"/>
  </si>
  <si>
    <t>1. #1 BLR Soot Blower #1, 2 Gland Packing 측 Steam Leak</t>
    <phoneticPr fontId="1" type="noConversion"/>
  </si>
  <si>
    <t>Bag 하부 Cap 제거</t>
    <phoneticPr fontId="1" type="noConversion"/>
  </si>
  <si>
    <t>Ash 상태 양호</t>
    <phoneticPr fontId="1" type="noConversion"/>
  </si>
  <si>
    <t xml:space="preserve"> - 재손상 발생하여 Air Leak 및 구리스 투입 불량하여 명일 Hose 교체 예정</t>
    <phoneticPr fontId="1" type="noConversion"/>
  </si>
  <si>
    <t>정비전까지 현상태 유지</t>
    <phoneticPr fontId="1" type="noConversion"/>
  </si>
  <si>
    <t>6. #2 BLR SA Fan Lower Damper Air Regulator Leak부 페럴 교체 후 정상화 실시</t>
    <phoneticPr fontId="1" type="noConversion"/>
  </si>
  <si>
    <t>5. #1 BLR Bio Reclaimer 구리스 주입기 Air Hose 손상 부 컷팅 후 재연결 실시</t>
    <phoneticPr fontId="1" type="noConversion"/>
  </si>
  <si>
    <t xml:space="preserve">4. #1, 2 BLR SDA Hopper Ash 배출 및 Vent Fan Bag 청소 실시 : 톤백 각각 2EA </t>
    <phoneticPr fontId="1" type="noConversion"/>
  </si>
  <si>
    <t>3. #1, 2 Bed Ash Room 톤백 정리 및 청소 실시 : 미니 굴삭기 지원</t>
    <phoneticPr fontId="1" type="noConversion"/>
  </si>
  <si>
    <t>2. #1 BLR 유기성 고형연료 Rotary Feeder #B 내부 이물질 제거 후 기동 실시 : 정상화 완료</t>
    <phoneticPr fontId="1" type="noConversion"/>
  </si>
  <si>
    <t>7. #2 BLR 유기성 고형연료 #2-B Train 투입량 점검 : Blower 유량 부족으로 Rotary-&gt;Ejector 흡입압 부족 추정</t>
    <phoneticPr fontId="1" type="noConversion"/>
  </si>
  <si>
    <t>8. #2 BLR Bed Ash Air Lock Feeder Discharge Line 내부 이물질 제거 후 정상화 실시</t>
    <phoneticPr fontId="1" type="noConversion"/>
  </si>
  <si>
    <t>9. #2 BLR T.A.H 하부 Air Lock Feeder 702 Discharge Dome Valve 내부 이물질 제거 후 정상화 실시</t>
    <phoneticPr fontId="1" type="noConversion"/>
  </si>
  <si>
    <t>10. #2 BLR Soot Blower #23 Poppet Valve 교체 실시 : 명일 압력셋팅 예정 (금일 기동금지)</t>
    <phoneticPr fontId="1" type="noConversion"/>
  </si>
  <si>
    <t>11. #2 BLR Bed Ash Silo Ash 3대 반출 완료</t>
    <phoneticPr fontId="1" type="noConversion"/>
  </si>
  <si>
    <t>12. LP Let Down Train #1 PCV Supply Air 압력 조정 완료</t>
    <phoneticPr fontId="1" type="noConversion"/>
  </si>
  <si>
    <t>13. TBN Lube Oil Tank 상부 청소 실시</t>
    <phoneticPr fontId="1" type="noConversion"/>
  </si>
  <si>
    <t>팀장님 지시사항</t>
    <phoneticPr fontId="1" type="noConversion"/>
  </si>
  <si>
    <t>14. 미연탄소 Test 관련 #1, 2 BLR Combustor Bottom Temp 820℃ 유지 요망 (10:00 ~ )</t>
    <phoneticPr fontId="1" type="noConversion"/>
  </si>
  <si>
    <t>1. 연차휴가 : 김광표 부장 (대근자 한만석 차장)</t>
    <phoneticPr fontId="1" type="noConversion"/>
  </si>
  <si>
    <t>1. 연차휴가 : 김광표 부장 (대근자 조용환 차장)</t>
    <phoneticPr fontId="1" type="noConversion"/>
  </si>
  <si>
    <t>1. Cathodic Protection System Auto Controller Panel (Condenser 측) 급기팬 Filter 교체 요청</t>
    <phoneticPr fontId="1" type="noConversion"/>
  </si>
  <si>
    <t>2. 유기성고형연료 Storage Silo #B Unloading Line XV 점검 요청- 제어실에서 동작불량, 현장에서 Open 실시</t>
    <phoneticPr fontId="1" type="noConversion"/>
  </si>
  <si>
    <t>3. #2 BLR Bio Reclaimer 구리스 자동주입기 Rotary Switch 유실</t>
    <phoneticPr fontId="1" type="noConversion"/>
  </si>
  <si>
    <t>TM발행</t>
    <phoneticPr fontId="1" type="noConversion"/>
  </si>
  <si>
    <t>TM발행</t>
    <phoneticPr fontId="1" type="noConversion"/>
  </si>
  <si>
    <t>TM발행</t>
    <phoneticPr fontId="1" type="noConversion"/>
  </si>
  <si>
    <t>4. 18:25 #1 Coal Wall Screw Feeder #B Fault 발생으로 Coal Feeder 정지됨 (현장 Screw Feeder는 정지안됨)</t>
    <phoneticPr fontId="1" type="noConversion"/>
  </si>
  <si>
    <t xml:space="preserve"> - 19:15 Coal Wall Screw Feeder #B Forsing 후 재기동 실시, 명일 전기제어팀 점검 예정</t>
    <phoneticPr fontId="1" type="noConversion"/>
  </si>
  <si>
    <t>5. #2 Bed Ash Arm Roll Box 교체 및 Silo 5.5ton 반출</t>
    <phoneticPr fontId="1" type="noConversion"/>
  </si>
  <si>
    <t>6. #1 Bed Ash Arm Roll Box Room 청소 실시</t>
    <phoneticPr fontId="1" type="noConversion"/>
  </si>
  <si>
    <t>[TM회의]</t>
    <phoneticPr fontId="1" type="noConversion"/>
  </si>
  <si>
    <t xml:space="preserve"> - 1호기 SDA Atomizer #C 정지상태.  정비부서 신속 정상화 요망.  석회석 투입량 과다시 Atomizer 유량 증대 운전 할수도 있음[참고]</t>
    <phoneticPr fontId="1" type="noConversion"/>
  </si>
  <si>
    <t xml:space="preserve"> - BC102 #B Tail Part Duct Collection Duct 막힘 해소작업 신속 조치 요망.  외주작업 시행시 점검창 및 안전발판, Duct 단관 길이 분할 등 개선방안 검토 요망[기계팀]</t>
    <phoneticPr fontId="1" type="noConversion"/>
  </si>
  <si>
    <t xml:space="preserve"> - TT 5개소 및 주보일러 Bag Filter 상부 2개소 조류 침입방지 개선 미적용 상태.  추가적용 방안 검토 요망 [기계팀+자이E]</t>
    <phoneticPr fontId="1" type="noConversion"/>
  </si>
  <si>
    <t xml:space="preserve"> * (안전팀) 금일 크레인 등 외주공사 중장비 작업 있음 [참고] </t>
    <phoneticPr fontId="1" type="noConversion"/>
  </si>
  <si>
    <t xml:space="preserve"> * (전기제어팀) 금일 유기성고형연료 사이로 #B Emergency Screw #A 감속기 교체작업후 오후에 무부하 및 부하운전 Test 예정[전기,기계팀+설비운영팀]</t>
    <phoneticPr fontId="1" type="noConversion"/>
  </si>
  <si>
    <t>[설비운영팀]</t>
    <phoneticPr fontId="1" type="noConversion"/>
  </si>
  <si>
    <t xml:space="preserve"> - 주보일러 Fly Ash 과다발생 원인, 주말과 주중 발생량 편차 과다 원인, 미연탄소분 감소 운전 등 검토.  운전파트에서도 검토의견 지원 요망 [이성진+송관석,운전파트]</t>
    <phoneticPr fontId="1" type="noConversion"/>
  </si>
  <si>
    <t xml:space="preserve"> - 효율파트 업무일지 기록 요망.  TM회의에 삽입내용 표기하고 운전파트에서 TM회의 작성시 확인하여 해당사항 추가[효율파트+운전]</t>
    <phoneticPr fontId="1" type="noConversion"/>
  </si>
  <si>
    <r>
      <t xml:space="preserve"> - 주보일러 Fly Ash 미연탄소분 감소 위해 특이사항 없으면 1,2호기 연소실 하부 온도</t>
    </r>
    <r>
      <rPr>
        <sz val="10"/>
        <color rgb="FFFF0000"/>
        <rFont val="맑은 고딕"/>
        <family val="3"/>
        <charset val="129"/>
      </rPr>
      <t xml:space="preserve"> </t>
    </r>
    <r>
      <rPr>
        <u/>
        <sz val="10"/>
        <color rgb="FFFF0000"/>
        <rFont val="맑은 고딕"/>
        <family val="3"/>
        <charset val="129"/>
      </rPr>
      <t>825~830도 구간</t>
    </r>
    <r>
      <rPr>
        <sz val="10"/>
        <color rgb="FF0000FF"/>
        <rFont val="맑은 고딕"/>
        <family val="3"/>
        <charset val="129"/>
      </rPr>
      <t>에서 안전적인 운전 요망. 내일 새벽에도 Fly Ash Sampling하여 환경팀에 분석의뢰 요망 [운전파트</t>
    </r>
    <r>
      <rPr>
        <sz val="10"/>
        <rFont val="맑은 고딕"/>
        <family val="3"/>
        <charset val="129"/>
      </rPr>
      <t>+효율]</t>
    </r>
    <phoneticPr fontId="1" type="noConversion"/>
  </si>
  <si>
    <t xml:space="preserve"> - 2027년 예산 및 설비운영계획 작성 및 회신준비[송관석 대리]</t>
    <phoneticPr fontId="1" type="noConversion"/>
  </si>
  <si>
    <t>1. 8월 발전운영실적 보고</t>
    <phoneticPr fontId="1" type="noConversion"/>
  </si>
  <si>
    <t>2. 8월 연료사용일지 및 우드칩 사용실적 송부 (환경팀)</t>
    <phoneticPr fontId="1" type="noConversion"/>
  </si>
  <si>
    <t>3. 8월 전기 및 증기 실적 송부 (환경팀)</t>
    <phoneticPr fontId="1" type="noConversion"/>
  </si>
  <si>
    <t>4. 신입사원(전민정 주임) 성과 목표 송부 (경영관리실)</t>
    <phoneticPr fontId="1" type="noConversion"/>
  </si>
  <si>
    <t>1. #2 BLR Eco Air Lock Feeder #A Discharge Dome Valve Close 불량</t>
    <phoneticPr fontId="1" type="noConversion"/>
  </si>
  <si>
    <t>2. #2 BLR TAH Air Lock Feeder #A Discharge Dome Valve 작동 불량 점검 요청</t>
    <phoneticPr fontId="1" type="noConversion"/>
  </si>
  <si>
    <t>3. #2 BLR Fly Ash Air Lock Feeder 'A-5' Discharge Dome Valve Tubing Line Pinhole</t>
    <phoneticPr fontId="1" type="noConversion"/>
  </si>
  <si>
    <t>4. 유기성 고형연료 Day Silo Vent Fan Bag Filter 점검 요청</t>
    <phoneticPr fontId="1" type="noConversion"/>
  </si>
  <si>
    <t>TM 발행</t>
    <phoneticPr fontId="1" type="noConversion"/>
  </si>
  <si>
    <t>TM 발행</t>
    <phoneticPr fontId="1" type="noConversion"/>
  </si>
  <si>
    <t>TM 발행</t>
    <phoneticPr fontId="1" type="noConversion"/>
  </si>
  <si>
    <t>TM 발행</t>
    <phoneticPr fontId="1" type="noConversion"/>
  </si>
  <si>
    <t>* #1 BLR Bag Filter A-3, B-5 점검 예정으로 사전 Damper 및 Steam Tracing 차단 요망(N/S)</t>
    <phoneticPr fontId="1" type="noConversion"/>
  </si>
  <si>
    <t>5. #1 BLR S/B #1,2 Gland Tightging 실시- Tighting 후 기동 시 Steam Leak 심하여 Packing 교체 예정</t>
    <phoneticPr fontId="1" type="noConversion"/>
  </si>
  <si>
    <t>* #1 BLR Wall Screw Feeder #B Run Feedback 접점 문제로 추정되며 추후 전자접촉기 교체 예정</t>
    <phoneticPr fontId="1" type="noConversion"/>
  </si>
  <si>
    <t>기계팀 요청사항</t>
    <phoneticPr fontId="1" type="noConversion"/>
  </si>
  <si>
    <t>* 유기성 고형연료 Day Silo Vent Fan Pulsing Air 압력 6bar-&gt;3.5bar로 변경 - DP 변화 확인 필요함</t>
    <phoneticPr fontId="1" type="noConversion"/>
  </si>
  <si>
    <t xml:space="preserve">  - 유기성 Day Silo 상탄라인 Support  추가 설치 - 이송시 상태 확인 필요함</t>
    <phoneticPr fontId="1" type="noConversion"/>
  </si>
  <si>
    <t>7. #2 BLR Bio Dosing Convayor 상부 점검창 점검 완료</t>
    <phoneticPr fontId="1" type="noConversion"/>
  </si>
  <si>
    <t>8. #2 BLR Soot Blower #23 Poppet Valve 압력 설정 실시 - 야간에 Soot 진행시 확인 요청</t>
    <phoneticPr fontId="1" type="noConversion"/>
  </si>
  <si>
    <t xml:space="preserve">9. AHU-203 실외기 Comp' Oil 50%까지 충유 </t>
    <phoneticPr fontId="1" type="noConversion"/>
  </si>
  <si>
    <t>* 10일 02시 Fly Ash Sampling 요망 - 채취시 1~3회 외부로 버리고 그 다음 회부터 채취 요망</t>
    <phoneticPr fontId="1" type="noConversion"/>
  </si>
  <si>
    <t>* P.A Pressure 1600 mmH2O 이하로 되도록 운전 요망 - 팀장님 지시사항</t>
    <phoneticPr fontId="1" type="noConversion"/>
  </si>
  <si>
    <t xml:space="preserve">6. 유기성 고형연료 Storage Silo #B 축분 Line 무부하 및 부하 Test 실시 - 내용 공유 </t>
    <phoneticPr fontId="1" type="noConversion"/>
  </si>
  <si>
    <t>1. BFWP #C Thrust Temp  -7℃ 지시로 점검 요청</t>
    <phoneticPr fontId="1" type="noConversion"/>
  </si>
  <si>
    <t>2.  1,2 Fly Ash Sampling 실시</t>
    <phoneticPr fontId="1" type="noConversion"/>
  </si>
  <si>
    <t>3. Bag Filter A-3, B-5 점검 관련 사전조치 실시</t>
    <phoneticPr fontId="1" type="noConversion"/>
  </si>
  <si>
    <t>4. #2 Bed Ash Arm Roll Box 교체 완료</t>
    <phoneticPr fontId="1" type="noConversion"/>
  </si>
  <si>
    <t>5. 유기성 고형연료 Silo Storage #B 하역 중 막힘 발생하여 80 ton 까지 상탄 실시_ #B Silo XV Close 및 Purge 중</t>
    <phoneticPr fontId="1" type="noConversion"/>
  </si>
  <si>
    <t>6. 1,2 호기 BIo Reclaimer grease tray 청소 실시</t>
    <phoneticPr fontId="1" type="noConversion"/>
  </si>
  <si>
    <t>7. 터빈동 1층 물청소 실시</t>
    <phoneticPr fontId="1" type="noConversion"/>
  </si>
  <si>
    <t>8. #1 BLR Fly Ash Bag Filter Air Lock Feeder "A-2" Discharge Dome Valve Ash Leak</t>
    <phoneticPr fontId="1" type="noConversion"/>
  </si>
  <si>
    <t>9. 1호기 보일러 Fly Ash Bag FIlter Air Lock Feeder "A-5" H Level S/W Flange Leak</t>
    <phoneticPr fontId="1" type="noConversion"/>
  </si>
  <si>
    <t>10.  #1,2 BLR 회전기기 Suction Filter 교체요청</t>
    <phoneticPr fontId="1" type="noConversion"/>
  </si>
  <si>
    <t>TM 발행</t>
    <phoneticPr fontId="1" type="noConversion"/>
  </si>
  <si>
    <t>11. 유기성 고형연료 Storage Silo 하역 Line Booster Valve 점검 요청</t>
    <phoneticPr fontId="1" type="noConversion"/>
  </si>
  <si>
    <t>[TM회의]</t>
    <phoneticPr fontId="1" type="noConversion"/>
  </si>
  <si>
    <t>[주간회의]</t>
    <phoneticPr fontId="1" type="noConversion"/>
  </si>
  <si>
    <t>[설비운영팀]</t>
    <phoneticPr fontId="1" type="noConversion"/>
  </si>
  <si>
    <t xml:space="preserve"> - 3분기 통합비상모의훈련 일자 조율 및 계획 보고 요망 [1파트+효율]</t>
    <phoneticPr fontId="1" type="noConversion"/>
  </si>
  <si>
    <t xml:space="preserve"> - 평상시에는 1,2호기 Eco. Hopper 및 TAH Hopper에 Ash 적체 없도록 Shift당 1회(30~60분) Hopper Ash 이송 운전요망 [운전파트]</t>
    <phoneticPr fontId="1" type="noConversion"/>
  </si>
  <si>
    <t xml:space="preserve"> - 전일 Fly Ash 발생량도 높은것 같음.  금일새벽 채취한 Fly Ash Sample은 환경팀에서 가능한 신속히 미연탄분 분석 요망[참고]</t>
    <phoneticPr fontId="1" type="noConversion"/>
  </si>
  <si>
    <t xml:space="preserve"> - 전일에 이어서 금일에도 유기성 고형연료 부하 테스트 운전. 기계팀 Blower 선조치 등 각팀 협조 요망 [참고]</t>
    <phoneticPr fontId="1" type="noConversion"/>
  </si>
  <si>
    <t xml:space="preserve"> - '27년도 운전 Data 작성위해 혼소연료, 혼소율 등 전략적 사항 결정 필요 =&gt; (경영관리실) 회의후 방향 협의</t>
    <phoneticPr fontId="1" type="noConversion"/>
  </si>
  <si>
    <t xml:space="preserve"> * (환경팀) 바이오 혼소율 29% 상향하는 환경영향평가 변경협의 9차 준비중 [참고]</t>
    <phoneticPr fontId="1" type="noConversion"/>
  </si>
  <si>
    <t xml:space="preserve"> * (환경팀) 업무혁신 협의회 참석시 10월말경 AX 경진대회 예정 언급됨 [참고]</t>
    <phoneticPr fontId="1" type="noConversion"/>
  </si>
  <si>
    <t xml:space="preserve"> ◎ 유기성고형연료 축분라인 시운전시 설계용량 대비 실제 투입량도 비교 요망 [기계팀] </t>
    <phoneticPr fontId="1" type="noConversion"/>
  </si>
  <si>
    <t xml:space="preserve"> - 유기성고형연료 축분 공급계통 Screw Feeder 운전 Hz 별 연료 투입량 운전파트에서 트렌드 확인 요망 [운전파트]</t>
    <phoneticPr fontId="1" type="noConversion"/>
  </si>
  <si>
    <t xml:space="preserve"> ◎ Coal Crusher Building 1층 바닥, 냉각탑 앞뒤 안쪽 Walk way 등 구배불량으로 배수 안되는 곳 개선 요망. Crusher동 철근 배근절단 구조상 문제로 개선 안되면 안전상 문제 되는지 구조진단 받든지 콘크리트를 추가 타설하던지 개선 요망 [운영지원+안전팀]</t>
    <phoneticPr fontId="1" type="noConversion"/>
  </si>
  <si>
    <t xml:space="preserve"> * (사업개발팀) RPS제도 개편관련 기후부 의견(안)으로 최초 REC발급일부터 20년 또는 기존 REC계수 50% 적용하여 30년 등 후에 REC 일몰 적용 제도개편 논의되고 있음[참고] </t>
    <phoneticPr fontId="1" type="noConversion"/>
  </si>
  <si>
    <t xml:space="preserve"> ◎ 지표현황에 SMP와 증기판매량 당월 실적은 예상치로 트랜드 작성요망. 혼소율 현황에는 누계자료 추가 요망 [경영관리실]</t>
    <phoneticPr fontId="1" type="noConversion"/>
  </si>
  <si>
    <t xml:space="preserve"> - 운전파트 9월 운전원심화교육(또는 직무교육) 초안자료 신속히 작업하여 효율파트 공유하여 발표계획 보고 등 준비 요망[운전파트+송관석]</t>
    <phoneticPr fontId="1" type="noConversion"/>
  </si>
  <si>
    <t xml:space="preserve">[주간회의 후 '27년도 경영계획(예산, 공사, 운전계획 등) 관련 회의] </t>
    <phoneticPr fontId="1" type="noConversion"/>
  </si>
  <si>
    <t xml:space="preserve"> * (경영관리실장) '27년 경영계획 수립 주요 사항은 1) 혼소율, 2) 혼소연료 단가, 3) Ash 반출, 4) 증기수용(8760시간 수요량), 5) 투자비 및 정비계획 등 
                        혼소율은 '26년도에는 운영부문에서 선수립했으나, '27년도 계획은 운영지원팀에서 월별 혼소연료 수급 및 Ash 처리 계획 고려하여
                         선행 계획수립 필요.  미이용산림 및 축분 단가, Ash 처리 단가 등</t>
    <phoneticPr fontId="1" type="noConversion"/>
  </si>
  <si>
    <t xml:space="preserve"> * (경영관리실장) 내년도 혼소계획 수립시 축분은 연료확보 등 반영 여부 고려 필요, 미이용산림은 혼소로 반영 필요(석탄 하역 호퍼 1개소에 미이용하역하여 혼합 직상탄 방안) </t>
    <phoneticPr fontId="1" type="noConversion"/>
  </si>
  <si>
    <t>4. 유기성 고형연료 Rotary #A Fault 발생[BM발행]</t>
    <phoneticPr fontId="1" type="noConversion"/>
  </si>
  <si>
    <t>1. #1 BLR Bag Filter B-2 Differential Pressure Transmitter 오지시</t>
    <phoneticPr fontId="1" type="noConversion"/>
  </si>
  <si>
    <t>2. #1 BLR Bag Filter B-2 Air Pulsing시 Dust 최대 0.6ppm 상승_완료</t>
    <phoneticPr fontId="1" type="noConversion"/>
  </si>
  <si>
    <t>3. 유기성 고형연료 Day Silo 하부 온도계 점검 요망_BM</t>
    <phoneticPr fontId="1" type="noConversion"/>
  </si>
  <si>
    <t>5. 유기성 고형연료 Storage Silo #B Emer Screw #B Gland 점검 요청</t>
    <phoneticPr fontId="1" type="noConversion"/>
  </si>
  <si>
    <t>7. 유기성 고형연료 Day Silo Weight 점검 요청</t>
    <phoneticPr fontId="1" type="noConversion"/>
  </si>
  <si>
    <t>8. #1 BLR Bag Filter A-3 양호, Bag Filter B-4 상부 덮개 Full Close 작업 완료_TM 작업</t>
    <phoneticPr fontId="1" type="noConversion"/>
  </si>
  <si>
    <t xml:space="preserve">  - Bag Filter B-2 Bag 1개소 파손 -3개 교체 완료</t>
    <phoneticPr fontId="1" type="noConversion"/>
  </si>
  <si>
    <t>9. #1,2 Gland Packing 교체 완료_TM 작업</t>
    <phoneticPr fontId="1" type="noConversion"/>
  </si>
  <si>
    <t>10. #1 BLR SDA Outlet PT Line 탈락 건</t>
    <phoneticPr fontId="1" type="noConversion"/>
  </si>
  <si>
    <t>11. [103ETG34AA101] #1 BLR Fly Ash B/F Air Lock Feeder 'B-1' Inlet Dome Valve Seat 손상</t>
    <phoneticPr fontId="1" type="noConversion"/>
  </si>
  <si>
    <t>TM 발행</t>
    <phoneticPr fontId="1" type="noConversion"/>
  </si>
  <si>
    <t>TM 발행</t>
    <phoneticPr fontId="1" type="noConversion"/>
  </si>
  <si>
    <t>12. [104HCB30AT001] #1 BLR Soot Blower Limit Switch Bar 탈락</t>
    <phoneticPr fontId="1" type="noConversion"/>
  </si>
  <si>
    <t>6. 유기성 고형연료 Storage Silo #B 하역 라인 막힘 점검 요청</t>
    <phoneticPr fontId="1" type="noConversion"/>
  </si>
  <si>
    <t>1.  #1 BLR Lime Slurry Vibrating Screen #A Mesh 교체 요청</t>
    <phoneticPr fontId="1" type="noConversion"/>
  </si>
  <si>
    <t>2. Lime Slurry Solution Tank #A Discharge Line 막힘 관통요청</t>
    <phoneticPr fontId="1" type="noConversion"/>
  </si>
  <si>
    <t>TM 발행</t>
    <phoneticPr fontId="1" type="noConversion"/>
  </si>
  <si>
    <t>3.  #1 BLR 유기성 고형연료 Rotary Feeder #A 기동 불량</t>
    <phoneticPr fontId="1" type="noConversion"/>
  </si>
  <si>
    <t>4. 1. 유기성 고형연료 Day Silo 외부 온도 측정_ 이상없음</t>
    <phoneticPr fontId="1" type="noConversion"/>
  </si>
  <si>
    <t>5. 1,2호기 Air량 조정(Total Air Gain : 0.98, O2 Trim Bias : -0.2)</t>
    <phoneticPr fontId="1" type="noConversion"/>
  </si>
  <si>
    <t>2. 경조휴가 : 고석훈 대리(대근자 박일남 과장)</t>
    <phoneticPr fontId="1" type="noConversion"/>
  </si>
  <si>
    <t>고석훈: 배우자 형제 결혼</t>
    <phoneticPr fontId="1" type="noConversion"/>
  </si>
  <si>
    <t>1. 보상휴가(반차) : 오현주 부장(오후)</t>
    <phoneticPr fontId="1" type="noConversion"/>
  </si>
  <si>
    <t>[TM회의]</t>
    <phoneticPr fontId="1" type="noConversion"/>
  </si>
  <si>
    <t xml:space="preserve"> * (자이 운전) Coal BC102 #B 측 집진 덕트 막힘 해소, Bio BC205 Tail 측 집진 댐퍼 등 정상화 또는 보완 신속 조치 요망 [기계팀]</t>
    <phoneticPr fontId="1" type="noConversion"/>
  </si>
  <si>
    <t xml:space="preserve"> * (안전팀) 금일부터 자이에너지운영에서 안전설비 개선공사 착수 예정 [참고]</t>
    <phoneticPr fontId="1" type="noConversion"/>
  </si>
  <si>
    <t xml:space="preserve"> - 금일 유기성고형연료계통 TM작업 우선시행 요망 [기계팀]</t>
    <phoneticPr fontId="1" type="noConversion"/>
  </si>
  <si>
    <t>[설비운영팀]</t>
    <phoneticPr fontId="1" type="noConversion"/>
  </si>
  <si>
    <t xml:space="preserve"> - 전일 Fly Ash 발생량 Eco 및 TAH hopper ash 이송 고려하더라도 많음. 최적운전방안, 감소방안, 원인 등 의견 있으면 효율파트 공유 요망 [공통]</t>
    <phoneticPr fontId="1" type="noConversion"/>
  </si>
  <si>
    <t xml:space="preserve"> - 금일 오후부터 1,2호기 Fly Ash Sample 2회 채취 요망. 오후 17시경과 새벽 02시경 Soot Blowing 시행전에 Sampling하여 해당호기와 채취날짜 및 시간 기록요망.  차주 월요일 오전에 총 12개(2개호기 x 2회/일 x 3일) Sample 환경팀에 분석 의뢰 요망[운전파트]</t>
    <phoneticPr fontId="1" type="noConversion"/>
  </si>
  <si>
    <t xml:space="preserve"> - 주말간 안전운전 철저.  주설비 오염구역 청소 및 주요 통로 거미줄 제거 요망.  설비 이상징후 발견시 신속 대응조치 및 상황 보고, 공유 [운전파트]</t>
    <phoneticPr fontId="1" type="noConversion"/>
  </si>
  <si>
    <t>3. Lime Slurry Solution Tank #A Discharge Line 막힘 관통요청</t>
    <phoneticPr fontId="1" type="noConversion"/>
  </si>
  <si>
    <t>4. #1,2 Bio Dosing Conveyor Inlet Pinhole 및 Outlet Chute 찢어짐</t>
    <phoneticPr fontId="1" type="noConversion"/>
  </si>
  <si>
    <t>TM발행</t>
    <phoneticPr fontId="1" type="noConversion"/>
  </si>
  <si>
    <t>TM발행</t>
    <phoneticPr fontId="1" type="noConversion"/>
  </si>
  <si>
    <t>5. #1 Fly Ash Bag Filter Air Lock Feeder "A-5" Disch. Dome Valve 교체 작업 완료</t>
    <phoneticPr fontId="1" type="noConversion"/>
  </si>
  <si>
    <t>6. #1 유기성 고형연료 Rotary Feeder #A 기동 불가 건 점검 완료 (Bag Filter Cap 제거)</t>
    <phoneticPr fontId="1" type="noConversion"/>
  </si>
  <si>
    <t>7. 08:40 유기성 고형연료 Day Silo Vent Fan Bag Pulsing Air 6bar로 상향 조절 실시- 차압 150-&gt;80mmh2o</t>
    <phoneticPr fontId="1" type="noConversion"/>
  </si>
  <si>
    <t>8. 유기성 Storage Silo #B 하역라인 Booster Air HDR에서 하역XV 전단 연결후 가압하여 막힘 해소 실시.</t>
    <phoneticPr fontId="1" type="noConversion"/>
  </si>
  <si>
    <t>9. #1,2 SDA 하부 톤백 2EA배출 실시</t>
    <phoneticPr fontId="1" type="noConversion"/>
  </si>
  <si>
    <t>10. 유기성 고형연료 Vent Filter Fan Bag 교체 완료</t>
    <phoneticPr fontId="1" type="noConversion"/>
  </si>
  <si>
    <t>11. 17:30 #1,2 Fly Ash Sampling 실시</t>
    <phoneticPr fontId="1" type="noConversion"/>
  </si>
  <si>
    <t>팀장님 Mail 참조</t>
    <phoneticPr fontId="1" type="noConversion"/>
  </si>
  <si>
    <t>12. #1 Fly Ash Bag Filter Air Lock Feeder "A-1, A-2"  Disch. Dome Valve 교체 작업 중</t>
    <phoneticPr fontId="1" type="noConversion"/>
  </si>
  <si>
    <t>1. #1호기 Bed Material Rotary FDR 후단 부 Pinhole - 주변 청소 완료</t>
    <phoneticPr fontId="1" type="noConversion"/>
  </si>
  <si>
    <t>2. #1호기 Bed Material Rotary FDR NDE측 Bed Materia Leak - 주변 청소 완료</t>
    <phoneticPr fontId="1" type="noConversion"/>
  </si>
  <si>
    <t>`</t>
    <phoneticPr fontId="1" type="noConversion"/>
  </si>
  <si>
    <t>TM발행</t>
    <phoneticPr fontId="1" type="noConversion"/>
  </si>
  <si>
    <t>1. #2 BLR Soot Blower #23 Poppet Vavle Close 불량</t>
    <phoneticPr fontId="1" type="noConversion"/>
  </si>
  <si>
    <t>2. #1 BLR Bag Filter 'B-1' Aux. Steam Trap Leak</t>
    <phoneticPr fontId="1" type="noConversion"/>
  </si>
  <si>
    <t>TM발행</t>
    <phoneticPr fontId="1" type="noConversion"/>
  </si>
  <si>
    <t>3. #2 BLR Soot Blower #2 Gland 측 Leak</t>
    <phoneticPr fontId="1" type="noConversion"/>
  </si>
  <si>
    <t>4. #2 BLR Eco Air Lock Feeder 701 Discharge Dome Valve Seat 손상 의심</t>
    <phoneticPr fontId="1" type="noConversion"/>
  </si>
  <si>
    <t>5. #2 BLR Eco Air Lock Feeder 702 Discharge Dome Valve Close 불량</t>
    <phoneticPr fontId="1" type="noConversion"/>
  </si>
  <si>
    <t>6. #1, 2 BLR Fly Ash Sampling 실시</t>
    <phoneticPr fontId="1" type="noConversion"/>
  </si>
  <si>
    <t>8. #2 BLR Soot Blower #23 Poppet Vavle Close 고착되어 현장 추타 후 해소 실시</t>
    <phoneticPr fontId="1" type="noConversion"/>
  </si>
  <si>
    <t>9. BLR동 6층 및 PA, SA Fan 주변청소 실시</t>
    <phoneticPr fontId="1" type="noConversion"/>
  </si>
  <si>
    <t>1. #1 BLR Soot Blower #9 Cam 고정 불량으로 기동 불가</t>
    <phoneticPr fontId="1" type="noConversion"/>
  </si>
  <si>
    <t>2. Lime Slurry Solution Tank #A Discharge Line EHT 재부착 요청</t>
    <phoneticPr fontId="1" type="noConversion"/>
  </si>
  <si>
    <t>3 #2 BLR Bio Screw Feeder #B 구동 Chain 장력 조정 요청</t>
    <phoneticPr fontId="1" type="noConversion"/>
  </si>
  <si>
    <t>TM발행</t>
    <phoneticPr fontId="1" type="noConversion"/>
  </si>
  <si>
    <t>4. Lime Slurry #A to Feed Tank #A Line 막힘 해소 완료</t>
    <phoneticPr fontId="1" type="noConversion"/>
  </si>
  <si>
    <t>6. Aux BLR Compressor 무부하 기동 Test 및 BFP Hand Turning 실시</t>
    <phoneticPr fontId="1" type="noConversion"/>
  </si>
  <si>
    <t>7. 17:00 #1,2 Fly Ash Sampling 실시</t>
    <phoneticPr fontId="1" type="noConversion"/>
  </si>
  <si>
    <t>8. #1 BLR 4.5~7층 및 BFP #B, #C 주변 청소</t>
    <phoneticPr fontId="1" type="noConversion"/>
  </si>
  <si>
    <t>5. 08:00 유기성 고형연료 Day Silo 상부 Vent Filter Fan Pulsing Air 6Bar -&gt; 5Bar 설정 (기계팀 요청)</t>
    <phoneticPr fontId="1" type="noConversion"/>
  </si>
  <si>
    <t xml:space="preserve"> - 변경 전 차압 30, 11:00 차압 40, 17:00 차압 40</t>
    <phoneticPr fontId="1" type="noConversion"/>
  </si>
  <si>
    <t>1. #1 ECO Inlet Feedwater LCV 후단 Drain Double Valve Passing : Valve Tightening 후에도 약 150도 지시 중</t>
    <phoneticPr fontId="1" type="noConversion"/>
  </si>
  <si>
    <t>정지 중 작업사항 추가</t>
    <phoneticPr fontId="1" type="noConversion"/>
  </si>
  <si>
    <t>2. #1, 2 BLR Fly Ash Sampling 실시</t>
    <phoneticPr fontId="1" type="noConversion"/>
  </si>
  <si>
    <t>3. Boiler Air Compressor #B 무부하 운전 30분 실시</t>
    <phoneticPr fontId="1" type="noConversion"/>
  </si>
  <si>
    <t>4. 유기성 고형연료 Day Silo Vent Fan 차압 : 40mmH2O (00:30, 05:00)</t>
    <phoneticPr fontId="1" type="noConversion"/>
  </si>
  <si>
    <t>5. #1 BLR 4~2.5F 청소실시</t>
    <phoneticPr fontId="1" type="noConversion"/>
  </si>
  <si>
    <t>7. #1 BLR Bag Filter 'A-1', 'A-2' Discharge Dome Valve 교체 작업 완료</t>
    <phoneticPr fontId="1" type="noConversion"/>
  </si>
  <si>
    <t>1. [TM작업]1,2 Dosing Conveyor Outlet Chute 보강 작업 완료</t>
    <phoneticPr fontId="1" type="noConversion"/>
  </si>
  <si>
    <t>2. #2 BLR 5~7F 청소실시</t>
    <phoneticPr fontId="1" type="noConversion"/>
  </si>
  <si>
    <t>3. #1,2 BLR Bio Dosing Conveyor Inlet Chute 교체 요청</t>
    <phoneticPr fontId="1" type="noConversion"/>
  </si>
  <si>
    <t>4. #1,2 BLR SDA Atomizer #A,B,C Support Cone 주변 Cleaning 요청</t>
    <phoneticPr fontId="1" type="noConversion"/>
  </si>
  <si>
    <t>5. #2 BLR Bio-SRF Lubrication 운전표시등 점등 상태 점검 요청</t>
    <phoneticPr fontId="1" type="noConversion"/>
  </si>
  <si>
    <t>TM 발행</t>
    <phoneticPr fontId="1" type="noConversion"/>
  </si>
  <si>
    <t>TM 발행</t>
    <phoneticPr fontId="1" type="noConversion"/>
  </si>
  <si>
    <t>TM 발행</t>
    <phoneticPr fontId="1" type="noConversion"/>
  </si>
  <si>
    <t>6.  #1 BLR SDA Atomizer #A Inlet Duplex Filter Cleaning 요청</t>
    <phoneticPr fontId="1" type="noConversion"/>
  </si>
  <si>
    <t>TM 발행</t>
    <phoneticPr fontId="1" type="noConversion"/>
  </si>
  <si>
    <t>7. 1호기 보일러 SDA Inlet Temp Transmitter 오지시 점검요청</t>
    <phoneticPr fontId="1" type="noConversion"/>
  </si>
  <si>
    <t>8. #1 BLR Combustor Bottom Press TX #B 오지시 점검요청</t>
    <phoneticPr fontId="1" type="noConversion"/>
  </si>
  <si>
    <t>TM 발행</t>
    <phoneticPr fontId="1" type="noConversion"/>
  </si>
  <si>
    <t>1. #2 BLR Bed Ash Chain Conveyor Casing 하부 찢어짐으로 Ash Leak</t>
    <phoneticPr fontId="1" type="noConversion"/>
  </si>
  <si>
    <t>3. #2 BLR Soot Blower #23 Poppet Valve 고착 발생하여 추타 후 정상화</t>
    <phoneticPr fontId="1" type="noConversion"/>
  </si>
  <si>
    <t>2. #2 BLR BLR 청소 및 #5, #6 Heater 주변 청소 실시</t>
    <phoneticPr fontId="1" type="noConversion"/>
  </si>
  <si>
    <t>4. #1 BLR Limestone 사용량 오지시 : 18:00~24:00 6시간 동안 3.2ton 감소함</t>
    <phoneticPr fontId="1" type="noConversion"/>
  </si>
  <si>
    <t>5. Fly Ash Silo Level 07:00 ~15:30 8시간 30분 동안 31.5 ton 증가함</t>
    <phoneticPr fontId="1" type="noConversion"/>
  </si>
  <si>
    <t>6. 유기성 고형연료 Day Silo Vent Fan 19:50 차압: 40, 05:50 차압: 40</t>
    <phoneticPr fontId="1" type="noConversion"/>
  </si>
  <si>
    <t>3. 관리감독자교육 : 김광표 부장(9/9~10)</t>
    <phoneticPr fontId="1" type="noConversion"/>
  </si>
  <si>
    <t>2. 관리감독자교육 : 김광표 부장(9/9~10)</t>
    <phoneticPr fontId="1" type="noConversion"/>
  </si>
  <si>
    <t>2. 보상휴무 : 최수민 주임</t>
    <phoneticPr fontId="1" type="noConversion"/>
  </si>
  <si>
    <t>[TM회의]</t>
    <phoneticPr fontId="1" type="noConversion"/>
  </si>
  <si>
    <t xml:space="preserve"> - 주보일러 미연탄소분 과다발생 분석건을 전체적인 원인은 추론된 상태로 최종 정리중 =&gt; (부문장님) 검토완료되면 대표님께 보고토록 준비 요망[이성진,송관석]</t>
    <phoneticPr fontId="1" type="noConversion"/>
  </si>
  <si>
    <r>
      <t xml:space="preserve"> - 석탄은 추석연휴 대비 지난주 토요일에도 입고. 금주 토요일도 입고 예상.  추석연휴 대비 26-3항차 우선사용 위한 소내 Storage Silo에 26-1항차 소내재고 재순환 모으기 운전 등을 미시행 예정(운영지원팀 불필요 의견) =&gt; </t>
    </r>
    <r>
      <rPr>
        <sz val="10"/>
        <color rgb="FF0000FF"/>
        <rFont val="맑은 고딕"/>
        <family val="3"/>
        <charset val="129"/>
      </rPr>
      <t>(부문장님) 운영지원팀 재확인 후 Silo 운영관리 요망 [이성진]</t>
    </r>
    <phoneticPr fontId="1" type="noConversion"/>
  </si>
  <si>
    <r>
      <t xml:space="preserve"> - 2027년도 설비운영계획은 시간대별 열수요자료(사업개발팀), 각 혼소연료의 월별 혼소율(운영지원팀) 자료 대기중 =&gt; </t>
    </r>
    <r>
      <rPr>
        <sz val="10"/>
        <color rgb="FF0000FF"/>
        <rFont val="맑은 고딕"/>
        <family val="3"/>
        <charset val="129"/>
      </rPr>
      <t>(부문장님) 자료 늦으면 운영부문 (안)으로 Bio 23%, 유기성 6%로 종합 29%로 작성 송부 요망(축분과 미이용산림은 미반영) [송관석+이성진]</t>
    </r>
    <phoneticPr fontId="1" type="noConversion"/>
  </si>
  <si>
    <r>
      <t xml:space="preserve"> - 3분기 통합비상모의훈련 9/22(화) 예정, 운전원 직무향상 PT발표 마지막주 목요일 일정 확정 필요 =&gt; </t>
    </r>
    <r>
      <rPr>
        <sz val="10"/>
        <color rgb="FF0000FF"/>
        <rFont val="맑은 고딕"/>
        <family val="3"/>
        <charset val="129"/>
      </rPr>
      <t>(부문장님) 모의훈련은 9/22(화). 교육 발표는 9/30(수) [운전,효율]</t>
    </r>
    <phoneticPr fontId="1" type="noConversion"/>
  </si>
  <si>
    <t xml:space="preserve"> ○ 10월1일 돈분 시운전위해 포천축협에서 돈분 건조중. 금주 수요일까지 미진한 설비 보완하여 목,금에 업체 참석하여 시운전 및 테스트 완료 요망.  10월1일 시운전하고 10월중순경 경기도, 농림축산부 등등 관련기관 합동으로 축분 이용 관련 MOU 체결 예정.  호남권, 영남권, 경기수도권 등 3개권역으로 경기수도권은 GS포천사업장에서 연료 사용하는 것으로 추진 [기계팀+관련부서]</t>
    <phoneticPr fontId="1" type="noConversion"/>
  </si>
  <si>
    <t xml:space="preserve"> ○ 기계팀에서는 보일러동 5층 창문 추가, 2호기 Bio Reclaimer 개선, Bio Dosing Conveyor Vent Filter 개선, Fly Ash Silo 등 차질없도록 준비 요망. Fly Ash Silo는 금년 11월에 계약해서 동절기에 공장제작하고 내년 OH기간에 설치완료하여 OH후 재기동시 정상화 될수 있도록 준비 요망[기계팀]</t>
    <phoneticPr fontId="1" type="noConversion"/>
  </si>
  <si>
    <t>[설비운영팀]</t>
    <phoneticPr fontId="1" type="noConversion"/>
  </si>
  <si>
    <t xml:space="preserve"> - 운전파트 직무교육 발표자료 신속 작성 공유 요망 [운전파트]</t>
    <phoneticPr fontId="1" type="noConversion"/>
  </si>
  <si>
    <t xml:space="preserve"> - 3분기 통합비상모의훈련 계획 보고 및 공유 요망 [효율파트+1파트]</t>
    <phoneticPr fontId="1" type="noConversion"/>
  </si>
  <si>
    <t xml:space="preserve"> - 추석연휴 운영계획(근무계획, 원부재료 운영계획 등) 작성 및 보고 위한 각팀 자료 미리 요청 요망 [효율]</t>
    <phoneticPr fontId="1" type="noConversion"/>
  </si>
  <si>
    <t>1.  Fly Ash Silo Wet Unloader측 상판 개방요청</t>
    <phoneticPr fontId="1" type="noConversion"/>
  </si>
  <si>
    <t>2. [TM작업]#1  Soot Blower #9 정비완료(Cam 고정핀 체결)</t>
    <phoneticPr fontId="1" type="noConversion"/>
  </si>
  <si>
    <t>3. [TM작업] Atomizer #A~C Duplex Filter Cleaning 완료</t>
    <phoneticPr fontId="1" type="noConversion"/>
  </si>
  <si>
    <t>- 하역 Line 막힘 추정되어 1호기 입고 실시</t>
    <phoneticPr fontId="1" type="noConversion"/>
  </si>
  <si>
    <t>- 하역 Line 음압 상태 및 상부 Vent Fan 상태 양호하여 추후 입고시 확인 요망</t>
    <phoneticPr fontId="1" type="noConversion"/>
  </si>
  <si>
    <t>4. 07:10 #2 Limestone 입고관련</t>
    <phoneticPr fontId="1" type="noConversion"/>
  </si>
  <si>
    <t>5. #2 Bed Ash Arm Roll Box 교체 완료</t>
    <phoneticPr fontId="1" type="noConversion"/>
  </si>
  <si>
    <t>6.  [TM작업] #2 Bio Screw Feeder #B Chain 장력 조정 완료</t>
    <phoneticPr fontId="1" type="noConversion"/>
  </si>
  <si>
    <t>7.  [TM작업]#2  Bed Ash BE-603 To Bed Ash Silo Inlet Fabric Chute 손상 보강작업 완료</t>
    <phoneticPr fontId="1" type="noConversion"/>
  </si>
  <si>
    <t>8.  [TM작업] #2 Soot Blower #2 Gland Tightening 완료</t>
    <phoneticPr fontId="1" type="noConversion"/>
  </si>
  <si>
    <t>9. 2호기 유기성 고형연료 Blower #B Pully 취부 완료</t>
    <phoneticPr fontId="1" type="noConversion"/>
  </si>
  <si>
    <t>10. [TM 작업] Cooling Tower Rear Dry Wet Damper 동작 불량 관련 점검</t>
    <phoneticPr fontId="1" type="noConversion"/>
  </si>
  <si>
    <t>11.  TBN 3F HP Process Spray Leak(TM 기발행) 주변 안전띠 설치</t>
    <phoneticPr fontId="1" type="noConversion"/>
  </si>
  <si>
    <t>12. COP Area 물고임 제거&amp; BFP #B, #C 주변 물청소 실시 (고형연료 분진 제거), Louver 재 Open</t>
    <phoneticPr fontId="1" type="noConversion"/>
  </si>
  <si>
    <t>13. TBN Ext #3 to LP Process Water Leak 양동이 실리콘 보수 필요</t>
    <phoneticPr fontId="1" type="noConversion"/>
  </si>
  <si>
    <t>14. Fly Ash Sampling 17일 02시까지 매일 2회(17시, 02시) 실시 요망</t>
    <phoneticPr fontId="1" type="noConversion"/>
  </si>
  <si>
    <t>15. 안전 보호구 결제 바랍니다.</t>
    <phoneticPr fontId="1" type="noConversion"/>
  </si>
  <si>
    <t>2. #2 BLR Limestone 하역 실시 - 하역 라인 막힘 없이 투입 상태 양호함</t>
    <phoneticPr fontId="1" type="noConversion"/>
  </si>
  <si>
    <t>3. #2 BLR 유기성 고형연료 #B Train 기동하여 Rotary #B 상부 잔여 유기성 고형연료  Empty 실시함</t>
    <phoneticPr fontId="1" type="noConversion"/>
  </si>
  <si>
    <t xml:space="preserve">    - 유기성 고형연료 #B Train 40Hz로 기동시 약 1.72t/h 투입되며 전류치는 30A 지시됨.</t>
    <phoneticPr fontId="1" type="noConversion"/>
  </si>
  <si>
    <t>4. #2 BLR Soot Blower 실시 - Soot Blower #2 Gland측 상태 양호.</t>
    <phoneticPr fontId="1" type="noConversion"/>
  </si>
  <si>
    <t>1. #2 BLR Bio Reclaimer 구리스 강제 주입 실시 -3시간 간격</t>
    <phoneticPr fontId="1" type="noConversion"/>
  </si>
  <si>
    <t>6.  #1 BLR Bio Grease 수동 주입기 Air Line 교체</t>
    <phoneticPr fontId="1" type="noConversion"/>
  </si>
  <si>
    <t>TM 발행</t>
    <phoneticPr fontId="1" type="noConversion"/>
  </si>
  <si>
    <t>TM 발행</t>
    <phoneticPr fontId="1" type="noConversion"/>
  </si>
  <si>
    <t>7. 1,2호기 Coal Feeder Room 정리 및 PA, SA Fan 분진 청소 실시</t>
    <phoneticPr fontId="1" type="noConversion"/>
  </si>
  <si>
    <t>5. 유기성 고형연료 Day Silo Vent Fan 20:30 차압:40, 04:00 차압:50, 05:12 차압:50 - 소폭상승하여 추이관찰 필요함</t>
    <phoneticPr fontId="1" type="noConversion"/>
  </si>
  <si>
    <t>1. 공휴일 휴가 : 한만석 차장 (대근자 김광표 부장), 형준영 과장(대근자 이규현 과장)</t>
    <phoneticPr fontId="1" type="noConversion"/>
  </si>
  <si>
    <t>[TM회의]</t>
    <phoneticPr fontId="1" type="noConversion"/>
  </si>
  <si>
    <t xml:space="preserve"> ○ 1,2호기 Limestone 사용량 편차 발생원인 정상적인 것인지 점검 요망[팀장+효율,운전]</t>
    <phoneticPr fontId="1" type="noConversion"/>
  </si>
  <si>
    <t xml:space="preserve"> ○ 유기성고형연료 금주 수요일까지 설비 문제 해소 완료하고, 목~금요일 시운전 완료 요망.  10월1~7일사이에 김제 우분 2대 입고 계획중이며, 10월1일 포천축협 돈분 1대 입고 계획중. 10월 중순에 경기권 GS포턴, 영남권 남부발전, 호남권 여수 남동발전 등 3개권영 축분이용 클러스터 조성 MOU 체결 계획 중이므로 차질없이 준비 필요 [공통]</t>
    <phoneticPr fontId="1" type="noConversion"/>
  </si>
  <si>
    <t xml:space="preserve"> ○ 보이소 앱 자이E운영 직원들도 참여 가능하면 앱설치토록 하여 자이E 에서도 사용토록 할 것 [송관석]</t>
    <phoneticPr fontId="1" type="noConversion"/>
  </si>
  <si>
    <t>○ 4주차 화요일 TM회의에는 자이E운영 기계팀장 및 전기제어팀장도 회의 참석, 짝수달 마지막주 화요일 발주처 및 자이E 직책자 모임 정례화 [참고]</t>
    <phoneticPr fontId="1" type="noConversion"/>
  </si>
  <si>
    <t>[설비운영팀]</t>
    <phoneticPr fontId="1" type="noConversion"/>
  </si>
  <si>
    <t xml:space="preserve"> - 운전파트 운전원 심화교육 자료 대상자 신속히 자료 작성 요망 [운전파트 대상자]</t>
    <phoneticPr fontId="1" type="noConversion"/>
  </si>
  <si>
    <t xml:space="preserve"> - 9월13~14일 1,2호기 석회석 사용량 편차발생은 유기성사용량 편차 이외 다른 원인 있으면 전화, 카톡 등 신속히 팀장 공유 요망 [공통]</t>
    <phoneticPr fontId="1" type="noConversion"/>
  </si>
  <si>
    <r>
      <rPr>
        <sz val="10"/>
        <color rgb="FF0000FF"/>
        <rFont val="맑은 고딕"/>
        <family val="3"/>
        <charset val="129"/>
      </rPr>
      <t xml:space="preserve"> ○ 설비운영팀 운전파트 운전원 심화교육은 </t>
    </r>
    <r>
      <rPr>
        <u/>
        <sz val="10"/>
        <color rgb="FFFF0000"/>
        <rFont val="맑은 고딕"/>
        <family val="3"/>
        <charset val="129"/>
      </rPr>
      <t>매월 마지막주 수요일 17시부터 시행</t>
    </r>
    <r>
      <rPr>
        <sz val="10"/>
        <color rgb="FF0000FF"/>
        <rFont val="맑은 고딕"/>
        <family val="3"/>
        <charset val="129"/>
      </rPr>
      <t xml:space="preserve"> 요망 [설비운영팀]</t>
    </r>
    <r>
      <rPr>
        <sz val="10"/>
        <color rgb="FF000000"/>
        <rFont val="맑은 고딕"/>
        <family val="3"/>
        <charset val="129"/>
      </rPr>
      <t>.  10월부터 매주 목요일 부문장님 교육참석으로 수요일로 변경</t>
    </r>
    <phoneticPr fontId="1" type="noConversion"/>
  </si>
  <si>
    <r>
      <t xml:space="preserve"> ○</t>
    </r>
    <r>
      <rPr>
        <sz val="10"/>
        <color rgb="FF0000FF"/>
        <rFont val="맑은 고딕"/>
        <family val="3"/>
        <charset val="129"/>
      </rPr>
      <t xml:space="preserve"> 미이용산림은 내년 4월1일부터 혼소하는것으로 운영계획에 반영하고[송관석]</t>
    </r>
    <r>
      <rPr>
        <sz val="10"/>
        <color rgb="FF000000"/>
        <rFont val="맑은 고딕"/>
        <family val="3"/>
        <charset val="129"/>
      </rPr>
      <t>, 미이용산림 혼소 위한 설비개선 약 15~20억 공사발주 준비요망 [기계팀]</t>
    </r>
    <phoneticPr fontId="1" type="noConversion"/>
  </si>
  <si>
    <t>2. 2층 전자기기실 CTH-201 압축기2 저압경보 Alarm발생</t>
    <phoneticPr fontId="1" type="noConversion"/>
  </si>
  <si>
    <t>5. #2 BLR Fly Ash Aeration Blower #A, B Suction Filter 교체</t>
    <phoneticPr fontId="1" type="noConversion"/>
  </si>
  <si>
    <t>TM발행</t>
    <phoneticPr fontId="1" type="noConversion"/>
  </si>
  <si>
    <t>TM발행</t>
    <phoneticPr fontId="1" type="noConversion"/>
  </si>
  <si>
    <t>6. #1 BLR Bio Reclaimer 구리스 자동주입기 Air 호스 교체 완료</t>
    <phoneticPr fontId="1" type="noConversion"/>
  </si>
  <si>
    <t>7. #1 BLR Bag Filter 'B-1' Inlet Dome Valve 교체 작업 실시</t>
    <phoneticPr fontId="1" type="noConversion"/>
  </si>
  <si>
    <t>9. #2 BLR Bio Reclaimer Lube Oil System 점검 : Lube Oil Unit 전자접촉기 교체 완료</t>
    <phoneticPr fontId="1" type="noConversion"/>
  </si>
  <si>
    <t>3. #2 BLR Fly Ash Air Lock Feeder 'B-1' Equalizing Valve Gland Leak : Equalizing Valve 교체완료</t>
    <phoneticPr fontId="1" type="noConversion"/>
  </si>
  <si>
    <t>4. #2 BLR Fly Ash Air Lock Feeder 'B-1' Level Switch 측 Ash Leak : Level Swich 교체완료</t>
    <phoneticPr fontId="1" type="noConversion"/>
  </si>
  <si>
    <t>TM발행 : 작업완료</t>
    <phoneticPr fontId="1" type="noConversion"/>
  </si>
  <si>
    <t>TM발행 : 작업완료</t>
    <phoneticPr fontId="1" type="noConversion"/>
  </si>
  <si>
    <t>10. #2 BLR Fly Ash Air Lock Feeder 'A-3', 'A-5' Discharge Dome Valve Body 전체 교체 완료</t>
    <phoneticPr fontId="1" type="noConversion"/>
  </si>
  <si>
    <t>야간조 확인 요망</t>
    <phoneticPr fontId="1" type="noConversion"/>
  </si>
  <si>
    <t>12. NG 정압기실 주방용 적산계 교체 : 1,582,751m3 → 0m3 (13:25 기준)</t>
    <phoneticPr fontId="1" type="noConversion"/>
  </si>
  <si>
    <t>TM발행</t>
    <phoneticPr fontId="1" type="noConversion"/>
  </si>
  <si>
    <t>2. #1 Fly Ash Bag Filter Air Lock Feeder "B-1" Inlet Dome Valve 교체 작업 완료</t>
    <phoneticPr fontId="1" type="noConversion"/>
  </si>
  <si>
    <t>3. 02:00 Fly Ash Sampling 완료</t>
    <phoneticPr fontId="1" type="noConversion"/>
  </si>
  <si>
    <t>4. #1,2 Bio Hopper Bin 청소 완료</t>
    <phoneticPr fontId="1" type="noConversion"/>
  </si>
  <si>
    <t>11. #2 BLR Fly Ash Air Lock Feeder 'B-1' Level Switch Purge Air PRV 조절 불가상태로 1, 2호기 전체조사 요망</t>
    <phoneticPr fontId="1" type="noConversion"/>
  </si>
  <si>
    <t>5. #1,2 Fly Ash Air Lock Feeder Level Switch Purge Air PRV 반바퀴 Open 실시</t>
    <phoneticPr fontId="1" type="noConversion"/>
  </si>
  <si>
    <t>6. Limeslurry Feed Tank 주변 Slurry 청소 실시</t>
    <phoneticPr fontId="1" type="noConversion"/>
  </si>
  <si>
    <t>1. 연차휴가 : 오현주 부장(대근자 이성진 과장), 한만석 차장 (대근자 김광표 부장), 박문수 차장(대근자 이휘근 과장), 전민정 주임(대근자 김덕용 주임)</t>
    <phoneticPr fontId="1" type="noConversion"/>
  </si>
  <si>
    <t>1. 공휴일 휴가 : 형준영 과장(대근자 김형준 과장)</t>
    <phoneticPr fontId="1" type="noConversion"/>
  </si>
  <si>
    <t>[TM회의]</t>
    <phoneticPr fontId="1" type="noConversion"/>
  </si>
  <si>
    <t xml:space="preserve"> * (안전팀) CO2룸 내 P형수신반 고장알람건은 설비 작동에는 문제없으며, 10월경에 보조배터리 교체 예정 [참고]</t>
    <phoneticPr fontId="1" type="noConversion"/>
  </si>
  <si>
    <t xml:space="preserve"> * (기계팀) Fly Ash Dome Valve 신품 재고 10개 모두 교체 설치되어 추가자재 구매 진행중 [참고]</t>
    <phoneticPr fontId="1" type="noConversion"/>
  </si>
  <si>
    <t xml:space="preserve"> * (기계팀) 금일 외주작업 5건 : 1)보조보일러동 Hoist wire 교체, 2) Sootblower 방호커버 설치, 3) 유기성고형연료 설비 비계철거, 4) 축분 공급설비  잔여 펀치작업, 5) BE101A, BE102 Chain 점검 등 [참고]</t>
    <phoneticPr fontId="1" type="noConversion"/>
  </si>
  <si>
    <t>[설비운영팀]</t>
    <phoneticPr fontId="1" type="noConversion"/>
  </si>
  <si>
    <t xml:space="preserve"> - 운전원 심화교육 발표자 발표자료 신속 작성하여 제출요망. 자료 취합시 보고 및 공유 요망 [발표자+송관석]</t>
    <phoneticPr fontId="1" type="noConversion"/>
  </si>
  <si>
    <t xml:space="preserve"> - 설비 안전운전에 개선 필요한 사항, 문제점 등 발견시 관련사항 정리하여 보고 요망.  제어실 운전 및 로직, 현장 설비 등등 [운전파트]</t>
    <phoneticPr fontId="1" type="noConversion"/>
  </si>
  <si>
    <t xml:space="preserve"> - 대표님 현장 안전순찰 매일 하므로 설비 청결관리(청소) 및 정리정돈, 운전원 수공구 현장정리, 안전지적 예상사항 사전조치 등 현장 순찰, 설비관리 강화요망[운전파트]</t>
    <phoneticPr fontId="1" type="noConversion"/>
  </si>
  <si>
    <t>1. 연차휴가 : 오현주 부장, 송관석 대리,  조용환 차장(대근자 남정현 차장), 전민정 주임(대근자 최연호 주임)</t>
    <phoneticPr fontId="1" type="noConversion"/>
  </si>
  <si>
    <t>1. #2 BLR Fly Ash Air Lock Feeder 'B-1' Level Switch Purge Air Niddle Valve 점검요청</t>
    <phoneticPr fontId="1" type="noConversion"/>
  </si>
  <si>
    <t>TM발행</t>
    <phoneticPr fontId="1" type="noConversion"/>
  </si>
  <si>
    <t>2. #2 BLR 축분 투입라인 Manual Valve 조작용 발판 설치요청 : Valve 위치가 높아 조작 불가</t>
    <phoneticPr fontId="1" type="noConversion"/>
  </si>
  <si>
    <t>BM발행</t>
    <phoneticPr fontId="1" type="noConversion"/>
  </si>
  <si>
    <t>3. #1 BLR SDA Hopper Ash Grinder #A 고착 기동 불가 : 전기제어팀 요청 (케이블 분리 목적)</t>
    <phoneticPr fontId="1" type="noConversion"/>
  </si>
  <si>
    <t>4. #1 BLR SDA Hopper Ash Grinder #A 고착해소 작업완료 : 내부 이물질 제거완료</t>
    <phoneticPr fontId="1" type="noConversion"/>
  </si>
  <si>
    <t>V-Belt 전량 교체실시</t>
    <phoneticPr fontId="1" type="noConversion"/>
  </si>
  <si>
    <t>Valve 자재 없음</t>
    <phoneticPr fontId="1" type="noConversion"/>
  </si>
  <si>
    <t>5. #1 BLR SDA Inlet Temp Transmitter 오지시건 Transmitter 손상으로 자재 입고 후 교체 예정</t>
    <phoneticPr fontId="1" type="noConversion"/>
  </si>
  <si>
    <t>7. #2 BLR FBHE Blower #C V-Belt 교체 및 Alignment 교정 작업완료 : Blower #C-&gt;#B 교체운전 실시</t>
    <phoneticPr fontId="1" type="noConversion"/>
  </si>
  <si>
    <t>8. #2 BLR Soot Blower 안전망 설치작업으로 Soot Blowing 미실시 : No. 1 ~ 10 작업실시</t>
    <phoneticPr fontId="1" type="noConversion"/>
  </si>
  <si>
    <t>9. #2 BLR Fly Ash Air Lock Feeder B-1 Level Switch Purge Air Niddle Valve 불량건 : Purge Air Test 추후 실시예정</t>
    <phoneticPr fontId="1" type="noConversion"/>
  </si>
  <si>
    <t>10. 금일 예정된 축분라인 Test는 Combustor측 Manual Valve 조작 불가로 Test 불가 : 조작발판 신설 후 Test 예정</t>
    <phoneticPr fontId="1" type="noConversion"/>
  </si>
  <si>
    <t>6. #2 BLR Bed Ash Chain Conveyor Casing 하부측 Ash Leak 부 용접작업 실시</t>
    <phoneticPr fontId="1" type="noConversion"/>
  </si>
  <si>
    <t>8. #1, 2 BLR Fly Ash Sampling 실시</t>
    <phoneticPr fontId="1" type="noConversion"/>
  </si>
  <si>
    <t>11. #1, 2 BLR Fly Ash Sampling 실시</t>
    <phoneticPr fontId="1" type="noConversion"/>
  </si>
  <si>
    <t xml:space="preserve"> - Purge Air 최대압력 공급중이므로 Level Switch 보호위해 Purge Air Line Plugging 예정 : 추후 정상화 예정</t>
    <phoneticPr fontId="1" type="noConversion"/>
  </si>
  <si>
    <t>12. Lime Slurry Area 고압세척기로 물청소 실시</t>
    <phoneticPr fontId="1" type="noConversion"/>
  </si>
  <si>
    <t>1. #1,2 Hopper Bin 청소실시</t>
    <phoneticPr fontId="1" type="noConversion"/>
  </si>
  <si>
    <t>2. 02:00 #1,2 Fly Ash Sampling 실시</t>
    <phoneticPr fontId="1" type="noConversion"/>
  </si>
  <si>
    <t>3. #2 Bed Ash Arm Roll Box 교체, Bed Ash Silo 6ton 추가 반출</t>
    <phoneticPr fontId="1" type="noConversion"/>
  </si>
  <si>
    <t>1. #1 BLR SDA Hopper Ash Grinder #A 고착 기동 불가 : 내부 이물질 끼임 추정 (차단기 OFF)</t>
    <phoneticPr fontId="1" type="noConversion"/>
  </si>
  <si>
    <t>1. 2호기 보일러 FBHE Blower #C Belt (1EA) 끊어짐</t>
    <phoneticPr fontId="1" type="noConversion"/>
  </si>
  <si>
    <t>1. 연차휴가 : 이규현 과장(대근자 형준영 과장), 방덕윤 주임(대근자 최수민 주임)</t>
    <phoneticPr fontId="1" type="noConversion"/>
  </si>
  <si>
    <t>[TM회의]</t>
    <phoneticPr fontId="1" type="noConversion"/>
  </si>
  <si>
    <t xml:space="preserve"> - 26-3항차 입고탄 분석결과 Ash함량 13% 너무 높음.  재 분석 요망 [환경팀]</t>
    <phoneticPr fontId="1" type="noConversion"/>
  </si>
  <si>
    <t xml:space="preserve"> * (기계팀) SDA 상부의 Swirl vane은 내년 OH공사시 교체 정비 예정 [참고]</t>
    <phoneticPr fontId="1" type="noConversion"/>
  </si>
  <si>
    <t>[주간회의]</t>
    <phoneticPr fontId="1" type="noConversion"/>
  </si>
  <si>
    <t xml:space="preserve"> - 9월 혼소율 실적은 석탄 발열량 등 분석 결과에 따란 변동될 수 있음[참고]</t>
    <phoneticPr fontId="1" type="noConversion"/>
  </si>
  <si>
    <t xml:space="preserve"> * (기계팀) 금일 26년 OH시 1,2호기 RH Tube 샘플 분석 보고 예정이며, 내년도에 1호기 RH Tube 교체 계획중 [참고]</t>
    <phoneticPr fontId="1" type="noConversion"/>
  </si>
  <si>
    <t xml:space="preserve"> * (기계팀) Fly Ash Silo 신설건은 추석연휴후 운영지원팀 등과 위치 최종 확정후 발주 요청 예정. 미이용산림은 내년 OH기간 상관없이 공사 가능. 미이용산림 시험연소는 Bio 하역 및 공급계통으로 시험연소 가능
    =&gt; (전기제어팀) Fly Ash Silo 신설설비 및 운전 위해서는 Cable 연결위한 소내 정전작업 동반 필요
    =&gt; (대표님) 미이용산림 공식적인 시험연소운전 했다고 할수 있은 시험연소 방안, 시험연소 물량 등 확인 요망 [공통]</t>
    <phoneticPr fontId="1" type="noConversion"/>
  </si>
  <si>
    <t xml:space="preserve"> ◎ 전기제어팀에서는 반월/구미 견학결과 참고하여 우리 발전소의 설비개선방안 검토 수립 요망 [전기제어팀]</t>
    <phoneticPr fontId="1" type="noConversion"/>
  </si>
  <si>
    <r>
      <t xml:space="preserve"> * (기계팀) 금일 외주 작업 3개소(2호기 Sootblower 방호커버, 유기성(축분) 보완 마무리 및 </t>
    </r>
    <r>
      <rPr>
        <sz val="10"/>
        <color rgb="FF0000FF"/>
        <rFont val="맑은 고딕"/>
        <family val="3"/>
        <charset val="129"/>
      </rPr>
      <t>금일 오후 무부하, 부하운전 테스트</t>
    </r>
    <r>
      <rPr>
        <sz val="10"/>
        <color rgb="FF000000"/>
        <rFont val="맑은 고딕"/>
        <family val="3"/>
        <charset val="129"/>
      </rPr>
      <t>, 석탄 BE Chain 점검) [참고]</t>
    </r>
    <phoneticPr fontId="1" type="noConversion"/>
  </si>
  <si>
    <r>
      <t xml:space="preserve"> * (기계팀) 금일 14시 OH공사시 의뢰한 </t>
    </r>
    <r>
      <rPr>
        <sz val="10"/>
        <color rgb="FF0000FF"/>
        <rFont val="맑은 고딕"/>
        <family val="3"/>
        <charset val="129"/>
      </rPr>
      <t>Tube Sample 분석 결과 발표예정 [참고, 효율파트 필요시 참석]</t>
    </r>
    <phoneticPr fontId="1" type="noConversion"/>
  </si>
  <si>
    <r>
      <t xml:space="preserve"> * (사업개발) 소외열배관공사 관련 </t>
    </r>
    <r>
      <rPr>
        <sz val="10"/>
        <color rgb="FF0000FF"/>
        <rFont val="맑은 고딕"/>
        <family val="3"/>
        <charset val="129"/>
      </rPr>
      <t>10월2일부터 8일까지 열공급 중단 예상 [참고+운전파트]</t>
    </r>
    <r>
      <rPr>
        <sz val="10"/>
        <rFont val="맑은 고딕"/>
        <family val="3"/>
        <charset val="129"/>
      </rPr>
      <t xml:space="preserve"> =&gt; (팀장) 공식 연락 받으면 공유 예정</t>
    </r>
    <phoneticPr fontId="1" type="noConversion"/>
  </si>
  <si>
    <t>1. #1 BLR Fly Ash Bag Filter "B-1" Equalizing Valve Passing</t>
    <phoneticPr fontId="1" type="noConversion"/>
  </si>
  <si>
    <t>2. #2 BLR 유기성 고형연료 Blower #A 후단 Pinhole</t>
    <phoneticPr fontId="1" type="noConversion"/>
  </si>
  <si>
    <t>3. Cooling Tower #5 Rear측 Dry Damper MOV 간혈적 Torque Trip 발생</t>
    <phoneticPr fontId="1" type="noConversion"/>
  </si>
  <si>
    <t>TM 발행</t>
    <phoneticPr fontId="1" type="noConversion"/>
  </si>
  <si>
    <t>TM 발행</t>
    <phoneticPr fontId="1" type="noConversion"/>
  </si>
  <si>
    <t>TM 발행</t>
    <phoneticPr fontId="1" type="noConversion"/>
  </si>
  <si>
    <t>5. #2 BLR Dosing Conveor Outlet 점검창 Leak 건 패킹 교체 하여 상태 양호함</t>
    <phoneticPr fontId="1" type="noConversion"/>
  </si>
  <si>
    <t>6. #2 BLR Soot Blower측 안전방호 커버 설치작업 진행중.</t>
    <phoneticPr fontId="1" type="noConversion"/>
  </si>
  <si>
    <t>7. #2 BLR Fly Ash Air Lock Feeder #B-1 Level Switch Purge Air 플러깅 실시 및 H Switch Forcing 설정함</t>
    <phoneticPr fontId="1" type="noConversion"/>
  </si>
  <si>
    <t>8. BFP #B Arc Valve Equalizing Line Tubing Leak 부 Tightening 실시 후 Leak 없음</t>
    <phoneticPr fontId="1" type="noConversion"/>
  </si>
  <si>
    <t>9. Stack 방면 촬영 CCTV 열에 의한 손상 추정 - 다른타입으로 교체예정</t>
    <phoneticPr fontId="1" type="noConversion"/>
  </si>
  <si>
    <t xml:space="preserve">   - 기동중 Leak부위는 점검 완료후 Leak 상태 양호하며 17:00부터 60Hz로 연속기동 Test중</t>
    <phoneticPr fontId="1" type="noConversion"/>
  </si>
  <si>
    <t>11. 유기성 고형연료 Storage Silo #B 축분 Line 기동 Test 실시 - 60,50,40,30,20Hz  (각 2시간)</t>
    <phoneticPr fontId="1" type="noConversion"/>
  </si>
  <si>
    <t>1. #1,2 Bio Hopper Bin 청소</t>
    <phoneticPr fontId="1" type="noConversion"/>
  </si>
  <si>
    <t>2. 유기성 고형연료 Valve 및 Vent Fan Test 실시</t>
    <phoneticPr fontId="1" type="noConversion"/>
  </si>
  <si>
    <t>3. 17:00~03:00 유기성 고형연료 Storage Silo #B 축분 Line 기동 Test 실시</t>
    <phoneticPr fontId="1" type="noConversion"/>
  </si>
  <si>
    <t xml:space="preserve"> - Hz별 2시간 투입량 확인 (60Hz: 4.46t/h, 50Hz: 4.06t/h, 40Hz: 3.57t/h, 30Hz: 2.87t/h, 20Hz: 1.93t/h)</t>
    <phoneticPr fontId="1" type="noConversion"/>
  </si>
  <si>
    <t>4. #2 Fly Ash Bag Filter Room 2~3층 청소 및 SDA Hopper 하부 폐파렛트 정리 실시</t>
    <phoneticPr fontId="1" type="noConversion"/>
  </si>
  <si>
    <t>계측제어 김웅비차장 요청</t>
    <phoneticPr fontId="1" type="noConversion"/>
  </si>
  <si>
    <t xml:space="preserve"> - 유기성 고형연료 Storage Silo #A Vent Fan 기동/정지 불량 (26.08.12 TM건), 이외 동작상태 양호</t>
    <phoneticPr fontId="1" type="noConversion"/>
  </si>
  <si>
    <t>10. 유기성 고형연료 Storage Silo 상단(45도), 중단(55도), 하단(65도) 온도 Alarm 설정함.</t>
    <phoneticPr fontId="1" type="noConversion"/>
  </si>
  <si>
    <t>4. #1 BLR Bed Ash B/E 601 Vent Line Pinhole 관련 용접작업 완료</t>
    <phoneticPr fontId="1" type="noConversion"/>
  </si>
  <si>
    <t>1. 연차휴가 : 이규현 과장(대근자 하태곤 차장), 방덕윤 주임(대근자 최수민 주임)</t>
    <phoneticPr fontId="1" type="noConversion"/>
  </si>
  <si>
    <t>2. 배우자 출산휴가(9/11~16, 3+3) : 김현상 대리(대근자 서동인 과장)</t>
    <phoneticPr fontId="1" type="noConversion"/>
  </si>
  <si>
    <t>고석훈대리(1P, N) 휴가 여부(대근자 김현상)</t>
    <phoneticPr fontId="1" type="noConversion"/>
  </si>
  <si>
    <t>1. #1 BLR Limestone Blower #A V-Belt 끊어짐 발생 : V-Belt 전량 교체 완료</t>
    <phoneticPr fontId="1" type="noConversion"/>
  </si>
  <si>
    <t>BM발행</t>
    <phoneticPr fontId="1" type="noConversion"/>
  </si>
  <si>
    <t>2. #1 BLR Fly Ash Bag Filer Air Lock Feeder "B-1" Equalizing Valve 교체 완료</t>
    <phoneticPr fontId="1" type="noConversion"/>
  </si>
  <si>
    <t>3. #1 BLR HP Bypass Spray Flow 오지시 건 : 유량 없는 상태에도 1.5t/h 지시하여 영점 교정 실시함</t>
    <phoneticPr fontId="1" type="noConversion"/>
  </si>
  <si>
    <t>4. #1, 2 BLR SDA Hopper Ash 배출 : 각각 톤백 2개 배출 완료</t>
    <phoneticPr fontId="1" type="noConversion"/>
  </si>
  <si>
    <t>5. 축분 Line 측 Storage Silo #B Level 3.2ton에서 투입되지 않는 상태 확인 후 퍼지 및 정지 실시</t>
    <phoneticPr fontId="1" type="noConversion"/>
  </si>
  <si>
    <t>6. Turbo Comp' Discharge PI 교체 완료</t>
    <phoneticPr fontId="1" type="noConversion"/>
  </si>
  <si>
    <t>7. 터빈동 1층 Bio Unloading측 Shutter 오염방지 목적으로 Close 실시</t>
    <phoneticPr fontId="1" type="noConversion"/>
  </si>
  <si>
    <t xml:space="preserve"> - 추석연휴 운영계획 신속 취합후 보고, 공유  요망 [효율파트]</t>
    <phoneticPr fontId="1" type="noConversion"/>
  </si>
  <si>
    <t>[TM회의]</t>
    <phoneticPr fontId="1" type="noConversion"/>
  </si>
  <si>
    <t xml:space="preserve"> ○ 반월구미 발전소는 아침 점심때 온열질환 주의 등 안전주의 방송중.  우리도 시행방안 검토 요망 [안전]</t>
    <phoneticPr fontId="1" type="noConversion"/>
  </si>
  <si>
    <t xml:space="preserve"> ○  10일1일 김제 축분 도입예정(함수율 10%미만, 펠릿형(5mm이하), 톤백 또는 BCT차량 등)사항 사업걔발팀 협의 확인 필요 [참고]</t>
    <phoneticPr fontId="1" type="noConversion"/>
  </si>
  <si>
    <t xml:space="preserve"> ○ 미이용산림 : 1안) 3cm이하 hog Chip으로 석탄에 뿌려서 공급, 2안) Bio 하역설비로 공급하는 방안(1대 차량 분량 정도) [참고]</t>
    <phoneticPr fontId="1" type="noConversion"/>
  </si>
  <si>
    <t xml:space="preserve"> ○ 돈분 연료 11월에 테스트 연소 예정 [참고]</t>
    <phoneticPr fontId="1" type="noConversion"/>
  </si>
  <si>
    <t xml:space="preserve"> ○ 10월에 축분 관련 행사 등 차질없는 준비 필요 [공통]</t>
    <phoneticPr fontId="1" type="noConversion"/>
  </si>
  <si>
    <t>[설비운영팀]</t>
    <phoneticPr fontId="1" type="noConversion"/>
  </si>
  <si>
    <t xml:space="preserve"> - 추석연휴 VIP 방문시 설명자료(제어실) 사전 확인 요망 [효율+파트장]</t>
    <phoneticPr fontId="1" type="noConversion"/>
  </si>
  <si>
    <t xml:space="preserve"> - 차주 화요일 통합비상모의훈련 관련 시나리오 충분히 숙지하여 시나리오 안보고 할수 있도록.  안전운전 절차 Check List는 보면서 할 것 [1파트+효율]</t>
    <phoneticPr fontId="1" type="noConversion"/>
  </si>
  <si>
    <t xml:space="preserve"> - 역량평가 및 다면평가 가능한 신속 진행 요망 [공통 : 개인 및 파트장(내신권자)]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</si>
</sst>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800]dddd\,\ mmmm\ dd\,\ yyyy"/>
    <numFmt numFmtId="177" formatCode="#&quot; 파트&quot;"/>
  </numFmts>
  <fonts count="10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u/>
      <sz val="20"/>
      <color rgb="FF000000"/>
      <name val="맑은 고딕"/>
      <family val="3"/>
      <charset val="129"/>
    </font>
    <font>
      <sz val="12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1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b/>
      <u/>
      <sz val="24"/>
      <color theme="1"/>
      <name val="굴림"/>
      <family val="3"/>
      <charset val="129"/>
    </font>
    <font>
      <b/>
      <u val="double"/>
      <sz val="24"/>
      <color theme="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u val="double"/>
      <sz val="16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name val="굴림"/>
      <family val="3"/>
      <charset val="129"/>
    </font>
    <font>
      <sz val="9"/>
      <color theme="1"/>
      <name val="굴림"/>
      <family val="3"/>
      <charset val="129"/>
    </font>
    <font>
      <sz val="9"/>
      <name val="굴림"/>
      <family val="3"/>
      <charset val="129"/>
    </font>
    <font>
      <sz val="9"/>
      <name val="맑은 고딕"/>
      <family val="3"/>
      <charset val="129"/>
    </font>
    <font>
      <sz val="9"/>
      <color rgb="FFFF0000"/>
      <name val="굴림"/>
      <family val="3"/>
      <charset val="129"/>
    </font>
    <font>
      <sz val="10"/>
      <color rgb="FFFF0000"/>
      <name val="굴림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i/>
      <sz val="10"/>
      <color theme="0" tint="-0.34998626667073579"/>
      <name val="맑은 고딕"/>
      <family val="3"/>
      <charset val="129"/>
    </font>
    <font>
      <b/>
      <u/>
      <sz val="2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2"/>
      <name val="Wingdings"/>
      <charset val="2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</font>
    <font>
      <b/>
      <sz val="11"/>
      <color rgb="FF0000FF"/>
      <name val="맑은 고딕"/>
      <family val="3"/>
      <charset val="129"/>
      <scheme val="major"/>
    </font>
    <font>
      <sz val="10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i/>
      <sz val="11"/>
      <color theme="5"/>
      <name val="맑은 고딕"/>
      <family val="3"/>
      <charset val="129"/>
      <scheme val="minor"/>
    </font>
    <font>
      <sz val="12"/>
      <color theme="1"/>
      <name val="Times New Roman"/>
      <family val="1"/>
    </font>
    <font>
      <i/>
      <sz val="10"/>
      <color theme="0" tint="-0.34998626667073579"/>
      <name val="맑은 고딕"/>
      <family val="3"/>
      <charset val="129"/>
      <scheme val="minor"/>
    </font>
    <font>
      <i/>
      <sz val="10"/>
      <color theme="0" tint="-0.14999847407452621"/>
      <name val="맑은 고딕"/>
      <family val="3"/>
      <charset val="129"/>
      <scheme val="minor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u/>
      <sz val="14"/>
      <color theme="1"/>
      <name val="맑은 고딕"/>
      <family val="2"/>
      <scheme val="minor"/>
    </font>
    <font>
      <b/>
      <sz val="11"/>
      <color indexed="4"/>
      <name val="맑은 고딕"/>
      <family val="2"/>
      <scheme val="minor"/>
    </font>
    <font>
      <b/>
      <i/>
      <sz val="11"/>
      <color rgb="FF0000FF"/>
      <name val="맑은 고딕"/>
      <family val="3"/>
      <charset val="129"/>
      <scheme val="minor"/>
    </font>
    <font>
      <b/>
      <i/>
      <sz val="11"/>
      <color rgb="FF00B0F0"/>
      <name val="맑은 고딕"/>
      <family val="3"/>
      <charset val="129"/>
      <scheme val="minor"/>
    </font>
    <font>
      <b/>
      <i/>
      <sz val="11"/>
      <color rgb="FF00B050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u/>
      <sz val="10"/>
      <color rgb="FF0000FF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i/>
      <sz val="8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color indexed="81"/>
      <name val="맑은 고딕"/>
      <family val="3"/>
      <charset val="129"/>
      <scheme val="minor"/>
    </font>
    <font>
      <i/>
      <sz val="8"/>
      <color theme="0" tint="-0.34998626667073579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u/>
      <sz val="10"/>
      <color rgb="FFFF0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double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8" fillId="0" borderId="0"/>
    <xf numFmtId="0" fontId="6" fillId="0" borderId="0">
      <alignment vertical="center"/>
    </xf>
    <xf numFmtId="0" fontId="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</cellStyleXfs>
  <cellXfs count="812">
    <xf numFmtId="0" fontId="0" fillId="0" borderId="0" xfId="0">
      <alignment vertical="center"/>
    </xf>
    <xf numFmtId="0" fontId="2" fillId="0" borderId="0" xfId="0" applyFont="1">
      <alignment vertical="center"/>
    </xf>
    <xf numFmtId="0" fontId="10" fillId="3" borderId="0" xfId="1" applyFont="1" applyFill="1" applyAlignment="1">
      <alignment vertical="center"/>
    </xf>
    <xf numFmtId="0" fontId="9" fillId="4" borderId="23" xfId="1" applyFont="1" applyFill="1" applyBorder="1" applyAlignment="1">
      <alignment horizontal="center" vertical="center" shrinkToFit="1"/>
    </xf>
    <xf numFmtId="0" fontId="15" fillId="0" borderId="0" xfId="1" applyFont="1" applyBorder="1" applyAlignment="1">
      <alignment horizontal="left" vertical="center" shrinkToFit="1"/>
    </xf>
    <xf numFmtId="0" fontId="16" fillId="0" borderId="0" xfId="1" applyFont="1" applyBorder="1" applyAlignment="1">
      <alignment horizontal="center" vertical="center"/>
    </xf>
    <xf numFmtId="0" fontId="8" fillId="0" borderId="0" xfId="1" applyAlignment="1">
      <alignment vertical="center"/>
    </xf>
    <xf numFmtId="0" fontId="0" fillId="0" borderId="0" xfId="1" applyFont="1" applyAlignment="1">
      <alignment vertical="center"/>
    </xf>
    <xf numFmtId="0" fontId="8" fillId="4" borderId="0" xfId="1" applyFill="1" applyAlignment="1">
      <alignment vertical="center"/>
    </xf>
    <xf numFmtId="0" fontId="8" fillId="0" borderId="0" xfId="1" applyAlignment="1">
      <alignment horizontal="center" vertical="center"/>
    </xf>
    <xf numFmtId="0" fontId="6" fillId="0" borderId="0" xfId="2">
      <alignment vertical="center"/>
    </xf>
    <xf numFmtId="0" fontId="18" fillId="0" borderId="0" xfId="1" applyFont="1" applyAlignment="1">
      <alignment vertical="center"/>
    </xf>
    <xf numFmtId="0" fontId="18" fillId="0" borderId="0" xfId="1" applyFont="1" applyBorder="1" applyAlignment="1">
      <alignment vertical="center"/>
    </xf>
    <xf numFmtId="0" fontId="8" fillId="0" borderId="0" xfId="1" applyBorder="1" applyAlignment="1">
      <alignment vertical="center"/>
    </xf>
    <xf numFmtId="0" fontId="10" fillId="4" borderId="0" xfId="1" quotePrefix="1" applyFont="1" applyFill="1" applyBorder="1" applyAlignment="1">
      <alignment horizontal="left" vertical="center" wrapText="1" shrinkToFit="1"/>
    </xf>
    <xf numFmtId="176" fontId="9" fillId="0" borderId="0" xfId="1" applyNumberFormat="1" applyFont="1" applyBorder="1" applyAlignment="1">
      <alignment horizontal="left" vertical="center" shrinkToFit="1"/>
    </xf>
    <xf numFmtId="176" fontId="9" fillId="0" borderId="0" xfId="1" applyNumberFormat="1" applyFont="1" applyBorder="1" applyAlignment="1">
      <alignment horizontal="center" vertical="center" shrinkToFit="1"/>
    </xf>
    <xf numFmtId="0" fontId="9" fillId="4" borderId="0" xfId="1" applyFont="1" applyFill="1" applyBorder="1" applyAlignment="1">
      <alignment vertical="center" wrapText="1" shrinkToFit="1"/>
    </xf>
    <xf numFmtId="0" fontId="9" fillId="4" borderId="11" xfId="1" applyFont="1" applyFill="1" applyBorder="1" applyAlignment="1">
      <alignment vertical="center" wrapText="1" shrinkToFit="1"/>
    </xf>
    <xf numFmtId="0" fontId="14" fillId="0" borderId="2" xfId="2" quotePrefix="1" applyFont="1" applyFill="1" applyBorder="1" applyAlignment="1">
      <alignment vertical="center" wrapText="1" shrinkToFit="1"/>
    </xf>
    <xf numFmtId="177" fontId="13" fillId="5" borderId="14" xfId="2" quotePrefix="1" applyNumberFormat="1" applyFont="1" applyFill="1" applyBorder="1" applyAlignment="1">
      <alignment horizontal="center" vertical="center" wrapText="1" shrinkToFit="1"/>
    </xf>
    <xf numFmtId="0" fontId="13" fillId="0" borderId="14" xfId="2" quotePrefix="1" applyFont="1" applyFill="1" applyBorder="1" applyAlignment="1">
      <alignment horizontal="center" vertical="center" wrapText="1" shrinkToFit="1"/>
    </xf>
    <xf numFmtId="0" fontId="14" fillId="0" borderId="14" xfId="2" quotePrefix="1" applyFont="1" applyFill="1" applyBorder="1" applyAlignment="1">
      <alignment horizontal="center" vertical="center" wrapText="1" shrinkToFit="1"/>
    </xf>
    <xf numFmtId="0" fontId="14" fillId="4" borderId="0" xfId="1" applyFont="1" applyFill="1" applyBorder="1" applyAlignment="1">
      <alignment vertical="center"/>
    </xf>
    <xf numFmtId="0" fontId="11" fillId="0" borderId="11" xfId="1" applyFont="1" applyBorder="1" applyAlignment="1">
      <alignment vertical="center" wrapText="1"/>
    </xf>
    <xf numFmtId="0" fontId="14" fillId="0" borderId="19" xfId="2" quotePrefix="1" applyFont="1" applyFill="1" applyBorder="1" applyAlignment="1">
      <alignment vertical="center" wrapText="1" shrinkToFit="1"/>
    </xf>
    <xf numFmtId="0" fontId="9" fillId="4" borderId="33" xfId="1" applyFont="1" applyFill="1" applyBorder="1" applyAlignment="1">
      <alignment horizontal="centerContinuous" vertical="center"/>
    </xf>
    <xf numFmtId="0" fontId="9" fillId="4" borderId="39" xfId="1" applyFont="1" applyFill="1" applyBorder="1" applyAlignment="1">
      <alignment horizontal="centerContinuous" vertical="center"/>
    </xf>
    <xf numFmtId="0" fontId="9" fillId="4" borderId="32" xfId="1" applyFont="1" applyFill="1" applyBorder="1" applyAlignment="1">
      <alignment horizontal="centerContinuous" vertical="center"/>
    </xf>
    <xf numFmtId="0" fontId="13" fillId="0" borderId="13" xfId="2" quotePrefix="1" applyFont="1" applyFill="1" applyBorder="1" applyAlignment="1">
      <alignment horizontal="center" vertical="center" wrapText="1" shrinkToFit="1"/>
    </xf>
    <xf numFmtId="176" fontId="9" fillId="0" borderId="0" xfId="1" applyNumberFormat="1" applyFont="1" applyBorder="1" applyAlignment="1">
      <alignment horizontal="left" vertical="center" shrinkToFit="1"/>
    </xf>
    <xf numFmtId="0" fontId="9" fillId="4" borderId="24" xfId="1" applyFont="1" applyFill="1" applyBorder="1" applyAlignment="1">
      <alignment horizontal="center" vertical="center"/>
    </xf>
    <xf numFmtId="0" fontId="9" fillId="4" borderId="25" xfId="1" applyFont="1" applyFill="1" applyBorder="1" applyAlignment="1">
      <alignment horizontal="center" vertical="center"/>
    </xf>
    <xf numFmtId="0" fontId="14" fillId="4" borderId="35" xfId="1" applyFont="1" applyFill="1" applyBorder="1" applyAlignment="1">
      <alignment vertical="center" wrapText="1"/>
    </xf>
    <xf numFmtId="0" fontId="14" fillId="4" borderId="36" xfId="1" applyFont="1" applyFill="1" applyBorder="1" applyAlignment="1">
      <alignment vertical="center" wrapText="1"/>
    </xf>
    <xf numFmtId="0" fontId="14" fillId="4" borderId="37" xfId="1" applyFont="1" applyFill="1" applyBorder="1" applyAlignment="1">
      <alignment vertical="center" wrapText="1"/>
    </xf>
    <xf numFmtId="0" fontId="14" fillId="4" borderId="38" xfId="1" applyFont="1" applyFill="1" applyBorder="1" applyAlignment="1">
      <alignment vertical="center" wrapText="1"/>
    </xf>
    <xf numFmtId="0" fontId="14" fillId="4" borderId="50" xfId="1" applyFont="1" applyFill="1" applyBorder="1" applyAlignment="1">
      <alignment vertical="center" wrapText="1"/>
    </xf>
    <xf numFmtId="0" fontId="25" fillId="0" borderId="0" xfId="1" applyFont="1" applyAlignment="1">
      <alignment vertical="center"/>
    </xf>
    <xf numFmtId="0" fontId="25" fillId="4" borderId="0" xfId="1" applyFont="1" applyFill="1" applyAlignment="1">
      <alignment vertical="center"/>
    </xf>
    <xf numFmtId="0" fontId="29" fillId="0" borderId="0" xfId="0" applyFont="1">
      <alignment vertical="center"/>
    </xf>
    <xf numFmtId="0" fontId="34" fillId="0" borderId="11" xfId="0" applyFont="1" applyBorder="1" applyAlignment="1">
      <alignment horizontal="left" vertical="center"/>
    </xf>
    <xf numFmtId="0" fontId="34" fillId="0" borderId="0" xfId="0" applyFont="1">
      <alignment vertical="center"/>
    </xf>
    <xf numFmtId="14" fontId="34" fillId="0" borderId="0" xfId="0" applyNumberFormat="1" applyFont="1" applyAlignment="1">
      <alignment horizontal="right" vertical="center"/>
    </xf>
    <xf numFmtId="0" fontId="34" fillId="7" borderId="23" xfId="0" applyFont="1" applyFill="1" applyBorder="1" applyAlignment="1">
      <alignment horizontal="center" vertical="center"/>
    </xf>
    <xf numFmtId="0" fontId="34" fillId="7" borderId="24" xfId="0" applyFont="1" applyFill="1" applyBorder="1" applyAlignment="1">
      <alignment horizontal="center" vertical="center"/>
    </xf>
    <xf numFmtId="0" fontId="34" fillId="7" borderId="33" xfId="0" applyFont="1" applyFill="1" applyBorder="1" applyAlignment="1">
      <alignment horizontal="center" vertical="center"/>
    </xf>
    <xf numFmtId="0" fontId="34" fillId="7" borderId="25" xfId="0" applyFont="1" applyFill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14" fontId="34" fillId="0" borderId="60" xfId="0" applyNumberFormat="1" applyFont="1" applyBorder="1" applyAlignment="1">
      <alignment horizontal="center" vertical="center"/>
    </xf>
    <xf numFmtId="0" fontId="35" fillId="0" borderId="17" xfId="0" applyFont="1" applyBorder="1" applyAlignment="1">
      <alignment horizontal="left" vertical="center" wrapText="1"/>
    </xf>
    <xf numFmtId="0" fontId="36" fillId="0" borderId="61" xfId="0" applyFont="1" applyBorder="1" applyAlignment="1">
      <alignment horizontal="left" vertical="center" wrapText="1"/>
    </xf>
    <xf numFmtId="0" fontId="34" fillId="0" borderId="62" xfId="0" applyFont="1" applyBorder="1" applyAlignment="1">
      <alignment horizontal="center" vertical="center"/>
    </xf>
    <xf numFmtId="14" fontId="34" fillId="0" borderId="63" xfId="0" applyNumberFormat="1" applyFont="1" applyBorder="1" applyAlignment="1">
      <alignment horizontal="center" vertical="center"/>
    </xf>
    <xf numFmtId="14" fontId="35" fillId="6" borderId="63" xfId="0" applyNumberFormat="1" applyFont="1" applyFill="1" applyBorder="1" applyAlignment="1">
      <alignment horizontal="left" vertical="center" wrapText="1"/>
    </xf>
    <xf numFmtId="0" fontId="37" fillId="6" borderId="36" xfId="0" applyFont="1" applyFill="1" applyBorder="1" applyAlignment="1">
      <alignment horizontal="left" vertical="center" wrapText="1"/>
    </xf>
    <xf numFmtId="0" fontId="35" fillId="0" borderId="42" xfId="0" applyFont="1" applyBorder="1" applyAlignment="1">
      <alignment horizontal="left" vertical="center" wrapText="1"/>
    </xf>
    <xf numFmtId="0" fontId="36" fillId="0" borderId="64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 wrapText="1"/>
    </xf>
    <xf numFmtId="0" fontId="36" fillId="0" borderId="36" xfId="0" applyFont="1" applyBorder="1" applyAlignment="1">
      <alignment horizontal="left" vertical="center" wrapText="1"/>
    </xf>
    <xf numFmtId="0" fontId="39" fillId="0" borderId="36" xfId="0" applyFont="1" applyBorder="1" applyAlignment="1">
      <alignment horizontal="left" vertical="center" wrapText="1"/>
    </xf>
    <xf numFmtId="0" fontId="40" fillId="0" borderId="0" xfId="0" applyFont="1">
      <alignment vertical="center"/>
    </xf>
    <xf numFmtId="14" fontId="34" fillId="0" borderId="63" xfId="0" applyNumberFormat="1" applyFont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/>
    </xf>
    <xf numFmtId="14" fontId="34" fillId="0" borderId="66" xfId="0" applyNumberFormat="1" applyFont="1" applyBorder="1" applyAlignment="1">
      <alignment horizontal="center" vertical="center" wrapText="1"/>
    </xf>
    <xf numFmtId="0" fontId="29" fillId="0" borderId="22" xfId="0" applyFont="1" applyBorder="1" applyAlignment="1">
      <alignment horizontal="left" vertical="center" wrapText="1"/>
    </xf>
    <xf numFmtId="0" fontId="39" fillId="0" borderId="50" xfId="0" applyFont="1" applyBorder="1" applyAlignment="1">
      <alignment horizontal="left" vertical="center" wrapText="1"/>
    </xf>
    <xf numFmtId="0" fontId="13" fillId="0" borderId="2" xfId="2" quotePrefix="1" applyFont="1" applyFill="1" applyBorder="1" applyAlignment="1">
      <alignment horizontal="center" vertical="center" wrapText="1" shrinkToFit="1"/>
    </xf>
    <xf numFmtId="0" fontId="14" fillId="0" borderId="13" xfId="2" quotePrefix="1" applyFont="1" applyFill="1" applyBorder="1" applyAlignment="1">
      <alignment horizontal="center" vertical="center" wrapText="1" shrinkToFit="1"/>
    </xf>
    <xf numFmtId="0" fontId="44" fillId="0" borderId="14" xfId="2" quotePrefix="1" applyFont="1" applyFill="1" applyBorder="1" applyAlignment="1">
      <alignment horizontal="center" vertical="center" wrapText="1" shrinkToFit="1"/>
    </xf>
    <xf numFmtId="0" fontId="47" fillId="6" borderId="0" xfId="0" applyFont="1" applyFill="1">
      <alignment vertical="center"/>
    </xf>
    <xf numFmtId="0" fontId="48" fillId="6" borderId="0" xfId="0" applyFont="1" applyFill="1" applyAlignment="1">
      <alignment vertical="center"/>
    </xf>
    <xf numFmtId="0" fontId="49" fillId="6" borderId="0" xfId="0" applyFont="1" applyFill="1" applyAlignment="1">
      <alignment vertical="center"/>
    </xf>
    <xf numFmtId="0" fontId="49" fillId="6" borderId="0" xfId="0" applyFont="1" applyFill="1" applyAlignment="1">
      <alignment horizontal="center" vertical="center"/>
    </xf>
    <xf numFmtId="0" fontId="49" fillId="6" borderId="0" xfId="0" applyFont="1" applyFill="1" applyBorder="1" applyAlignment="1">
      <alignment vertical="center"/>
    </xf>
    <xf numFmtId="0" fontId="51" fillId="2" borderId="55" xfId="0" applyFont="1" applyFill="1" applyBorder="1" applyAlignment="1">
      <alignment horizontal="center" vertical="center" shrinkToFit="1"/>
    </xf>
    <xf numFmtId="0" fontId="52" fillId="6" borderId="0" xfId="0" applyFont="1" applyFill="1" applyAlignment="1">
      <alignment horizontal="center" vertical="center"/>
    </xf>
    <xf numFmtId="0" fontId="51" fillId="6" borderId="16" xfId="0" applyFont="1" applyFill="1" applyBorder="1" applyAlignment="1">
      <alignment vertical="center" shrinkToFit="1"/>
    </xf>
    <xf numFmtId="0" fontId="51" fillId="6" borderId="14" xfId="0" applyFont="1" applyFill="1" applyBorder="1" applyAlignment="1">
      <alignment vertical="center" shrinkToFit="1"/>
    </xf>
    <xf numFmtId="0" fontId="55" fillId="6" borderId="70" xfId="0" applyFont="1" applyFill="1" applyBorder="1" applyAlignment="1">
      <alignment horizontal="center" vertical="center" readingOrder="1"/>
    </xf>
    <xf numFmtId="0" fontId="54" fillId="6" borderId="70" xfId="0" applyFont="1" applyFill="1" applyBorder="1" applyAlignment="1">
      <alignment vertical="center" readingOrder="1"/>
    </xf>
    <xf numFmtId="0" fontId="51" fillId="6" borderId="35" xfId="0" applyFont="1" applyFill="1" applyBorder="1" applyAlignment="1">
      <alignment vertical="center" shrinkToFit="1"/>
    </xf>
    <xf numFmtId="0" fontId="5" fillId="6" borderId="0" xfId="0" applyFont="1" applyFill="1">
      <alignment vertical="center"/>
    </xf>
    <xf numFmtId="0" fontId="54" fillId="6" borderId="14" xfId="0" applyFont="1" applyFill="1" applyBorder="1" applyAlignment="1">
      <alignment vertical="center" readingOrder="1"/>
    </xf>
    <xf numFmtId="0" fontId="51" fillId="6" borderId="61" xfId="0" applyFont="1" applyFill="1" applyBorder="1" applyAlignment="1">
      <alignment vertical="center" shrinkToFit="1"/>
    </xf>
    <xf numFmtId="0" fontId="54" fillId="6" borderId="60" xfId="0" applyFont="1" applyFill="1" applyBorder="1" applyAlignment="1">
      <alignment vertical="center" wrapText="1" readingOrder="1"/>
    </xf>
    <xf numFmtId="0" fontId="51" fillId="6" borderId="71" xfId="0" applyFont="1" applyFill="1" applyBorder="1" applyAlignment="1">
      <alignment vertical="center" shrinkToFit="1"/>
    </xf>
    <xf numFmtId="0" fontId="50" fillId="6" borderId="14" xfId="0" applyFont="1" applyFill="1" applyBorder="1" applyAlignment="1">
      <alignment vertical="center" wrapText="1" readingOrder="1"/>
    </xf>
    <xf numFmtId="0" fontId="51" fillId="6" borderId="37" xfId="0" applyFont="1" applyFill="1" applyBorder="1" applyAlignment="1">
      <alignment vertical="center" shrinkToFit="1"/>
    </xf>
    <xf numFmtId="0" fontId="56" fillId="6" borderId="60" xfId="0" applyFont="1" applyFill="1" applyBorder="1" applyAlignment="1">
      <alignment vertical="center" wrapText="1" readingOrder="1"/>
    </xf>
    <xf numFmtId="0" fontId="54" fillId="6" borderId="69" xfId="0" applyFont="1" applyFill="1" applyBorder="1" applyAlignment="1">
      <alignment vertical="center" readingOrder="1"/>
    </xf>
    <xf numFmtId="0" fontId="54" fillId="6" borderId="14" xfId="0" applyFont="1" applyFill="1" applyBorder="1" applyAlignment="1">
      <alignment vertical="center" wrapText="1" readingOrder="1"/>
    </xf>
    <xf numFmtId="0" fontId="41" fillId="6" borderId="61" xfId="0" applyFont="1" applyFill="1" applyBorder="1" applyAlignment="1">
      <alignment vertical="center" shrinkToFit="1"/>
    </xf>
    <xf numFmtId="0" fontId="54" fillId="6" borderId="60" xfId="0" applyFont="1" applyFill="1" applyBorder="1" applyAlignment="1">
      <alignment vertical="center" readingOrder="1"/>
    </xf>
    <xf numFmtId="0" fontId="51" fillId="6" borderId="64" xfId="0" applyFont="1" applyFill="1" applyBorder="1" applyAlignment="1">
      <alignment vertical="center" shrinkToFit="1"/>
    </xf>
    <xf numFmtId="0" fontId="54" fillId="6" borderId="13" xfId="0" applyFont="1" applyFill="1" applyBorder="1" applyAlignment="1">
      <alignment vertical="center" readingOrder="1"/>
    </xf>
    <xf numFmtId="0" fontId="51" fillId="6" borderId="52" xfId="0" applyFont="1" applyFill="1" applyBorder="1" applyAlignment="1">
      <alignment vertical="center" shrinkToFit="1"/>
    </xf>
    <xf numFmtId="0" fontId="56" fillId="6" borderId="63" xfId="0" applyFont="1" applyFill="1" applyBorder="1" applyAlignment="1">
      <alignment horizontal="center" vertical="center" readingOrder="1"/>
    </xf>
    <xf numFmtId="0" fontId="54" fillId="6" borderId="63" xfId="0" applyFont="1" applyFill="1" applyBorder="1" applyAlignment="1">
      <alignment vertical="center" readingOrder="1"/>
    </xf>
    <xf numFmtId="0" fontId="51" fillId="6" borderId="36" xfId="0" applyFont="1" applyFill="1" applyBorder="1" applyAlignment="1">
      <alignment vertical="center" shrinkToFit="1"/>
    </xf>
    <xf numFmtId="0" fontId="53" fillId="6" borderId="14" xfId="0" applyFont="1" applyFill="1" applyBorder="1" applyAlignment="1">
      <alignment vertical="center" readingOrder="1"/>
    </xf>
    <xf numFmtId="0" fontId="53" fillId="6" borderId="14" xfId="0" applyFont="1" applyFill="1" applyBorder="1" applyAlignment="1">
      <alignment vertical="center"/>
    </xf>
    <xf numFmtId="0" fontId="51" fillId="6" borderId="61" xfId="0" quotePrefix="1" applyFont="1" applyFill="1" applyBorder="1" applyAlignment="1">
      <alignment vertical="center" shrinkToFit="1"/>
    </xf>
    <xf numFmtId="0" fontId="53" fillId="6" borderId="2" xfId="0" applyFont="1" applyFill="1" applyBorder="1" applyAlignment="1">
      <alignment vertical="center"/>
    </xf>
    <xf numFmtId="0" fontId="51" fillId="6" borderId="14" xfId="0" applyNumberFormat="1" applyFont="1" applyFill="1" applyBorder="1" applyAlignment="1">
      <alignment vertical="center" wrapText="1" shrinkToFit="1"/>
    </xf>
    <xf numFmtId="0" fontId="51" fillId="6" borderId="14" xfId="0" applyNumberFormat="1" applyFont="1" applyFill="1" applyBorder="1" applyAlignment="1">
      <alignment vertical="center" shrinkToFit="1"/>
    </xf>
    <xf numFmtId="0" fontId="51" fillId="6" borderId="4" xfId="0" applyFont="1" applyFill="1" applyBorder="1" applyAlignment="1">
      <alignment vertical="center" shrinkToFit="1"/>
    </xf>
    <xf numFmtId="0" fontId="51" fillId="6" borderId="19" xfId="0" applyFont="1" applyFill="1" applyBorder="1" applyAlignment="1">
      <alignment vertical="center" shrinkToFit="1"/>
    </xf>
    <xf numFmtId="0" fontId="51" fillId="6" borderId="19" xfId="0" applyNumberFormat="1" applyFont="1" applyFill="1" applyBorder="1" applyAlignment="1">
      <alignment vertical="center" shrinkToFit="1"/>
    </xf>
    <xf numFmtId="0" fontId="51" fillId="6" borderId="20" xfId="0" quotePrefix="1" applyFont="1" applyFill="1" applyBorder="1" applyAlignment="1">
      <alignment vertical="center" shrinkToFit="1"/>
    </xf>
    <xf numFmtId="0" fontId="43" fillId="6" borderId="8" xfId="0" applyFont="1" applyFill="1" applyBorder="1" applyAlignment="1">
      <alignment vertical="center"/>
    </xf>
    <xf numFmtId="0" fontId="51" fillId="6" borderId="6" xfId="0" applyFont="1" applyFill="1" applyBorder="1" applyAlignment="1">
      <alignment vertical="center" shrinkToFit="1"/>
    </xf>
    <xf numFmtId="0" fontId="53" fillId="6" borderId="6" xfId="0" applyFont="1" applyFill="1" applyBorder="1" applyAlignment="1">
      <alignment vertical="center" wrapText="1" readingOrder="1"/>
    </xf>
    <xf numFmtId="0" fontId="51" fillId="6" borderId="6" xfId="0" applyFont="1" applyFill="1" applyBorder="1" applyAlignment="1">
      <alignment vertical="center" wrapText="1" shrinkToFit="1"/>
    </xf>
    <xf numFmtId="0" fontId="51" fillId="6" borderId="6" xfId="0" applyNumberFormat="1" applyFont="1" applyFill="1" applyBorder="1" applyAlignment="1">
      <alignment vertical="center" shrinkToFit="1"/>
    </xf>
    <xf numFmtId="0" fontId="51" fillId="6" borderId="6" xfId="0" quotePrefix="1" applyFont="1" applyFill="1" applyBorder="1" applyAlignment="1">
      <alignment vertical="center" shrinkToFit="1"/>
    </xf>
    <xf numFmtId="0" fontId="51" fillId="6" borderId="0" xfId="0" applyFont="1" applyFill="1" applyBorder="1" applyAlignment="1">
      <alignment vertical="center" shrinkToFit="1"/>
    </xf>
    <xf numFmtId="0" fontId="53" fillId="6" borderId="0" xfId="0" applyFont="1" applyFill="1" applyBorder="1" applyAlignment="1">
      <alignment vertical="center" wrapText="1" readingOrder="1"/>
    </xf>
    <xf numFmtId="0" fontId="51" fillId="6" borderId="0" xfId="0" applyFont="1" applyFill="1" applyBorder="1" applyAlignment="1">
      <alignment vertical="center" wrapText="1" shrinkToFit="1"/>
    </xf>
    <xf numFmtId="0" fontId="51" fillId="6" borderId="0" xfId="0" applyNumberFormat="1" applyFont="1" applyFill="1" applyBorder="1" applyAlignment="1">
      <alignment vertical="center" shrinkToFit="1"/>
    </xf>
    <xf numFmtId="0" fontId="51" fillId="6" borderId="0" xfId="0" quotePrefix="1" applyFont="1" applyFill="1" applyBorder="1" applyAlignment="1">
      <alignment vertical="center" shrinkToFit="1"/>
    </xf>
    <xf numFmtId="0" fontId="51" fillId="6" borderId="8" xfId="0" applyFont="1" applyFill="1" applyBorder="1" applyAlignment="1">
      <alignment vertical="center" shrinkToFit="1"/>
    </xf>
    <xf numFmtId="0" fontId="5" fillId="6" borderId="0" xfId="0" applyFont="1" applyFill="1" applyAlignment="1">
      <alignment horizontal="center" vertical="center" shrinkToFit="1"/>
    </xf>
    <xf numFmtId="0" fontId="5" fillId="6" borderId="0" xfId="0" applyFont="1" applyFill="1" applyAlignment="1">
      <alignment horizontal="left" vertical="center" shrinkToFit="1"/>
    </xf>
    <xf numFmtId="0" fontId="5" fillId="0" borderId="0" xfId="0" applyFont="1" applyFill="1" applyAlignment="1">
      <alignment horizontal="left" vertical="center" shrinkToFit="1"/>
    </xf>
    <xf numFmtId="0" fontId="51" fillId="6" borderId="35" xfId="0" applyFont="1" applyFill="1" applyBorder="1" applyAlignment="1">
      <alignment horizontal="center" vertical="center" shrinkToFit="1"/>
    </xf>
    <xf numFmtId="0" fontId="41" fillId="6" borderId="61" xfId="0" applyFont="1" applyFill="1" applyBorder="1" applyAlignment="1">
      <alignment horizontal="center" vertical="center" shrinkToFit="1"/>
    </xf>
    <xf numFmtId="0" fontId="51" fillId="6" borderId="36" xfId="0" applyFont="1" applyFill="1" applyBorder="1" applyAlignment="1">
      <alignment horizontal="center" vertical="center" shrinkToFit="1"/>
    </xf>
    <xf numFmtId="0" fontId="51" fillId="6" borderId="61" xfId="0" quotePrefix="1" applyFont="1" applyFill="1" applyBorder="1" applyAlignment="1">
      <alignment horizontal="center" vertical="center" shrinkToFit="1"/>
    </xf>
    <xf numFmtId="0" fontId="51" fillId="6" borderId="20" xfId="0" quotePrefix="1" applyFont="1" applyFill="1" applyBorder="1" applyAlignment="1">
      <alignment horizontal="center" vertical="center" shrinkToFit="1"/>
    </xf>
    <xf numFmtId="0" fontId="51" fillId="6" borderId="6" xfId="0" quotePrefix="1" applyFont="1" applyFill="1" applyBorder="1" applyAlignment="1">
      <alignment horizontal="center" vertical="center" shrinkToFit="1"/>
    </xf>
    <xf numFmtId="0" fontId="51" fillId="6" borderId="0" xfId="0" quotePrefix="1" applyFont="1" applyFill="1" applyBorder="1" applyAlignment="1">
      <alignment horizontal="center" vertical="center" shrinkToFit="1"/>
    </xf>
    <xf numFmtId="0" fontId="57" fillId="0" borderId="1" xfId="0" applyFont="1" applyBorder="1" applyAlignment="1">
      <alignment vertical="center"/>
    </xf>
    <xf numFmtId="0" fontId="57" fillId="0" borderId="1" xfId="0" applyFont="1" applyBorder="1" applyAlignment="1">
      <alignment vertical="center" wrapText="1"/>
    </xf>
    <xf numFmtId="0" fontId="58" fillId="0" borderId="2" xfId="0" quotePrefix="1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14" fontId="50" fillId="6" borderId="0" xfId="0" applyNumberFormat="1" applyFont="1" applyFill="1" applyAlignment="1">
      <alignment horizontal="right" vertical="center"/>
    </xf>
    <xf numFmtId="0" fontId="51" fillId="6" borderId="72" xfId="0" applyFont="1" applyFill="1" applyBorder="1" applyAlignment="1">
      <alignment vertical="center" shrinkToFit="1"/>
    </xf>
    <xf numFmtId="0" fontId="60" fillId="6" borderId="61" xfId="0" applyFont="1" applyFill="1" applyBorder="1" applyAlignment="1">
      <alignment vertical="center" shrinkToFit="1"/>
    </xf>
    <xf numFmtId="0" fontId="60" fillId="6" borderId="61" xfId="0" quotePrefix="1" applyFont="1" applyFill="1" applyBorder="1" applyAlignment="1">
      <alignment vertical="center" shrinkToFit="1"/>
    </xf>
    <xf numFmtId="0" fontId="60" fillId="6" borderId="58" xfId="0" quotePrefix="1" applyFont="1" applyFill="1" applyBorder="1" applyAlignment="1">
      <alignment vertical="center" shrinkToFit="1"/>
    </xf>
    <xf numFmtId="0" fontId="60" fillId="6" borderId="64" xfId="0" quotePrefix="1" applyFont="1" applyFill="1" applyBorder="1" applyAlignment="1">
      <alignment vertical="center" shrinkToFit="1"/>
    </xf>
    <xf numFmtId="0" fontId="60" fillId="6" borderId="37" xfId="0" applyFont="1" applyFill="1" applyBorder="1" applyAlignment="1">
      <alignment vertical="center" shrinkToFit="1"/>
    </xf>
    <xf numFmtId="0" fontId="60" fillId="6" borderId="58" xfId="0" applyFont="1" applyFill="1" applyBorder="1" applyAlignment="1">
      <alignment vertical="center" shrinkToFit="1"/>
    </xf>
    <xf numFmtId="0" fontId="51" fillId="6" borderId="8" xfId="0" applyFont="1" applyFill="1" applyBorder="1" applyAlignment="1">
      <alignment vertical="center"/>
    </xf>
    <xf numFmtId="0" fontId="53" fillId="6" borderId="0" xfId="0" applyFont="1" applyFill="1" applyBorder="1" applyAlignment="1">
      <alignment vertical="center"/>
    </xf>
    <xf numFmtId="0" fontId="51" fillId="6" borderId="11" xfId="0" quotePrefix="1" applyFont="1" applyFill="1" applyBorder="1" applyAlignment="1">
      <alignment vertical="center" shrinkToFit="1"/>
    </xf>
    <xf numFmtId="14" fontId="5" fillId="6" borderId="0" xfId="0" applyNumberFormat="1" applyFont="1" applyFill="1">
      <alignment vertical="center"/>
    </xf>
    <xf numFmtId="0" fontId="51" fillId="6" borderId="18" xfId="0" applyFont="1" applyFill="1" applyBorder="1" applyAlignment="1">
      <alignment vertical="center" shrinkToFit="1"/>
    </xf>
    <xf numFmtId="0" fontId="51" fillId="6" borderId="73" xfId="0" applyFont="1" applyFill="1" applyBorder="1" applyAlignment="1">
      <alignment vertical="center" shrinkToFit="1"/>
    </xf>
    <xf numFmtId="0" fontId="51" fillId="6" borderId="73" xfId="0" applyNumberFormat="1" applyFont="1" applyFill="1" applyBorder="1" applyAlignment="1">
      <alignment vertical="center" wrapText="1" shrinkToFit="1"/>
    </xf>
    <xf numFmtId="0" fontId="51" fillId="6" borderId="74" xfId="0" applyFont="1" applyFill="1" applyBorder="1" applyAlignment="1">
      <alignment vertical="center" shrinkToFit="1"/>
    </xf>
    <xf numFmtId="0" fontId="51" fillId="6" borderId="2" xfId="0" applyNumberFormat="1" applyFont="1" applyFill="1" applyBorder="1" applyAlignment="1">
      <alignment vertical="center" shrinkToFit="1"/>
    </xf>
    <xf numFmtId="0" fontId="51" fillId="6" borderId="58" xfId="0" applyFont="1" applyFill="1" applyBorder="1" applyAlignment="1">
      <alignment vertical="center" shrinkToFit="1"/>
    </xf>
    <xf numFmtId="0" fontId="51" fillId="6" borderId="14" xfId="0" applyNumberFormat="1" applyFont="1" applyFill="1" applyBorder="1" applyAlignment="1">
      <alignment horizontal="left" vertical="top" wrapText="1"/>
    </xf>
    <xf numFmtId="0" fontId="51" fillId="6" borderId="14" xfId="0" applyNumberFormat="1" applyFont="1" applyFill="1" applyBorder="1" applyAlignment="1">
      <alignment vertical="center" wrapText="1"/>
    </xf>
    <xf numFmtId="0" fontId="51" fillId="6" borderId="2" xfId="0" applyNumberFormat="1" applyFont="1" applyFill="1" applyBorder="1" applyAlignment="1">
      <alignment vertical="center" wrapText="1"/>
    </xf>
    <xf numFmtId="0" fontId="51" fillId="6" borderId="14" xfId="0" applyNumberFormat="1" applyFont="1" applyFill="1" applyBorder="1">
      <alignment vertical="center"/>
    </xf>
    <xf numFmtId="0" fontId="51" fillId="6" borderId="13" xfId="0" applyNumberFormat="1" applyFont="1" applyFill="1" applyBorder="1">
      <alignment vertical="center"/>
    </xf>
    <xf numFmtId="0" fontId="51" fillId="6" borderId="61" xfId="0" applyFont="1" applyFill="1" applyBorder="1" applyAlignment="1">
      <alignment horizontal="left" vertical="center" shrinkToFit="1"/>
    </xf>
    <xf numFmtId="0" fontId="51" fillId="6" borderId="58" xfId="0" applyFont="1" applyFill="1" applyBorder="1" applyAlignment="1">
      <alignment horizontal="left" vertical="center" shrinkToFit="1"/>
    </xf>
    <xf numFmtId="0" fontId="51" fillId="6" borderId="2" xfId="0" applyNumberFormat="1" applyFont="1" applyFill="1" applyBorder="1">
      <alignment vertical="center"/>
    </xf>
    <xf numFmtId="0" fontId="51" fillId="6" borderId="2" xfId="0" applyNumberFormat="1" applyFont="1" applyFill="1" applyBorder="1" applyAlignment="1">
      <alignment horizontal="left" vertical="center" shrinkToFit="1"/>
    </xf>
    <xf numFmtId="0" fontId="51" fillId="6" borderId="19" xfId="0" applyNumberFormat="1" applyFont="1" applyFill="1" applyBorder="1" applyAlignment="1">
      <alignment horizontal="left" vertical="center" shrinkToFit="1"/>
    </xf>
    <xf numFmtId="0" fontId="5" fillId="6" borderId="0" xfId="0" applyFont="1" applyFill="1" applyAlignment="1">
      <alignment horizontal="left" vertical="center"/>
    </xf>
    <xf numFmtId="0" fontId="43" fillId="6" borderId="14" xfId="0" applyNumberFormat="1" applyFont="1" applyFill="1" applyBorder="1" applyAlignment="1">
      <alignment vertical="center" wrapText="1"/>
    </xf>
    <xf numFmtId="0" fontId="51" fillId="6" borderId="64" xfId="0" applyFont="1" applyFill="1" applyBorder="1" applyAlignment="1">
      <alignment horizontal="center" vertical="center" shrinkToFit="1"/>
    </xf>
    <xf numFmtId="0" fontId="45" fillId="6" borderId="0" xfId="0" applyFont="1" applyFill="1" applyAlignment="1">
      <alignment horizontal="center" vertical="center"/>
    </xf>
    <xf numFmtId="0" fontId="51" fillId="2" borderId="54" xfId="0" applyFont="1" applyFill="1" applyBorder="1" applyAlignment="1">
      <alignment horizontal="center" vertical="center" shrinkToFit="1"/>
    </xf>
    <xf numFmtId="49" fontId="4" fillId="0" borderId="0" xfId="0" applyNumberFormat="1" applyFont="1" applyBorder="1" applyAlignment="1">
      <alignment vertical="center"/>
    </xf>
    <xf numFmtId="49" fontId="26" fillId="0" borderId="0" xfId="0" applyNumberFormat="1" applyFont="1" applyBorder="1" applyAlignment="1">
      <alignment vertical="center"/>
    </xf>
    <xf numFmtId="49" fontId="27" fillId="0" borderId="0" xfId="0" applyNumberFormat="1" applyFont="1" applyBorder="1" applyAlignment="1">
      <alignment vertical="center"/>
    </xf>
    <xf numFmtId="49" fontId="27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 wrapText="1"/>
    </xf>
    <xf numFmtId="49" fontId="27" fillId="0" borderId="0" xfId="0" applyNumberFormat="1" applyFont="1">
      <alignment vertical="center"/>
    </xf>
    <xf numFmtId="49" fontId="27" fillId="0" borderId="0" xfId="0" quotePrefix="1" applyNumberFormat="1" applyFont="1" applyAlignment="1">
      <alignment horizontal="right"/>
    </xf>
    <xf numFmtId="49" fontId="27" fillId="2" borderId="74" xfId="0" applyNumberFormat="1" applyFont="1" applyFill="1" applyBorder="1" applyAlignment="1">
      <alignment horizontal="center" vertical="center"/>
    </xf>
    <xf numFmtId="49" fontId="24" fillId="2" borderId="76" xfId="0" quotePrefix="1" applyNumberFormat="1" applyFont="1" applyFill="1" applyBorder="1" applyAlignment="1">
      <alignment horizontal="center" vertical="center" wrapText="1"/>
    </xf>
    <xf numFmtId="49" fontId="24" fillId="2" borderId="77" xfId="0" applyNumberFormat="1" applyFont="1" applyFill="1" applyBorder="1" applyAlignment="1">
      <alignment vertical="top" wrapText="1"/>
    </xf>
    <xf numFmtId="49" fontId="27" fillId="0" borderId="0" xfId="0" applyNumberFormat="1" applyFont="1" applyFill="1">
      <alignment vertical="center"/>
    </xf>
    <xf numFmtId="49" fontId="24" fillId="0" borderId="78" xfId="0" quotePrefix="1" applyNumberFormat="1" applyFont="1" applyFill="1" applyBorder="1" applyAlignment="1">
      <alignment vertical="top" wrapText="1"/>
    </xf>
    <xf numFmtId="49" fontId="28" fillId="0" borderId="79" xfId="0" quotePrefix="1" applyNumberFormat="1" applyFont="1" applyFill="1" applyBorder="1" applyAlignment="1">
      <alignment horizontal="center" vertical="center" wrapText="1"/>
    </xf>
    <xf numFmtId="49" fontId="24" fillId="0" borderId="79" xfId="0" quotePrefix="1" applyNumberFormat="1" applyFont="1" applyFill="1" applyBorder="1" applyAlignment="1">
      <alignment horizontal="center" vertical="center" wrapText="1"/>
    </xf>
    <xf numFmtId="49" fontId="24" fillId="0" borderId="80" xfId="0" applyNumberFormat="1" applyFont="1" applyFill="1" applyBorder="1" applyAlignment="1">
      <alignment vertical="top" wrapText="1"/>
    </xf>
    <xf numFmtId="49" fontId="24" fillId="0" borderId="63" xfId="0" quotePrefix="1" applyNumberFormat="1" applyFont="1" applyFill="1" applyBorder="1" applyAlignment="1">
      <alignment vertical="top" wrapText="1"/>
    </xf>
    <xf numFmtId="49" fontId="28" fillId="0" borderId="27" xfId="0" quotePrefix="1" applyNumberFormat="1" applyFont="1" applyFill="1" applyBorder="1" applyAlignment="1">
      <alignment horizontal="center" vertical="center" wrapText="1"/>
    </xf>
    <xf numFmtId="49" fontId="24" fillId="0" borderId="27" xfId="0" quotePrefix="1" applyNumberFormat="1" applyFont="1" applyFill="1" applyBorder="1" applyAlignment="1">
      <alignment horizontal="center" vertical="center" wrapText="1"/>
    </xf>
    <xf numFmtId="49" fontId="24" fillId="0" borderId="36" xfId="0" applyNumberFormat="1" applyFont="1" applyFill="1" applyBorder="1" applyAlignment="1">
      <alignment vertical="top" wrapText="1"/>
    </xf>
    <xf numFmtId="49" fontId="62" fillId="0" borderId="63" xfId="0" quotePrefix="1" applyNumberFormat="1" applyFont="1" applyFill="1" applyBorder="1" applyAlignment="1">
      <alignment vertical="top" wrapText="1"/>
    </xf>
    <xf numFmtId="49" fontId="62" fillId="0" borderId="27" xfId="0" quotePrefix="1" applyNumberFormat="1" applyFont="1" applyFill="1" applyBorder="1" applyAlignment="1">
      <alignment horizontal="center" vertical="center" wrapText="1"/>
    </xf>
    <xf numFmtId="49" fontId="24" fillId="0" borderId="63" xfId="0" quotePrefix="1" applyNumberFormat="1" applyFont="1" applyFill="1" applyBorder="1" applyAlignment="1">
      <alignment vertical="top"/>
    </xf>
    <xf numFmtId="49" fontId="24" fillId="0" borderId="81" xfId="0" quotePrefix="1" applyNumberFormat="1" applyFont="1" applyFill="1" applyBorder="1" applyAlignment="1">
      <alignment vertical="top" wrapText="1"/>
    </xf>
    <xf numFmtId="49" fontId="28" fillId="0" borderId="30" xfId="0" quotePrefix="1" applyNumberFormat="1" applyFont="1" applyFill="1" applyBorder="1" applyAlignment="1">
      <alignment horizontal="center" vertical="center" wrapText="1"/>
    </xf>
    <xf numFmtId="49" fontId="24" fillId="0" borderId="30" xfId="0" quotePrefix="1" applyNumberFormat="1" applyFont="1" applyFill="1" applyBorder="1" applyAlignment="1">
      <alignment horizontal="center" vertical="center" wrapText="1"/>
    </xf>
    <xf numFmtId="49" fontId="24" fillId="0" borderId="81" xfId="0" quotePrefix="1" applyNumberFormat="1" applyFont="1" applyFill="1" applyBorder="1" applyAlignment="1">
      <alignment vertical="top"/>
    </xf>
    <xf numFmtId="49" fontId="24" fillId="0" borderId="38" xfId="0" applyNumberFormat="1" applyFont="1" applyFill="1" applyBorder="1" applyAlignment="1">
      <alignment vertical="top" wrapText="1"/>
    </xf>
    <xf numFmtId="49" fontId="24" fillId="0" borderId="70" xfId="0" quotePrefix="1" applyNumberFormat="1" applyFont="1" applyFill="1" applyBorder="1" applyAlignment="1">
      <alignment vertical="top" wrapText="1"/>
    </xf>
    <xf numFmtId="49" fontId="28" fillId="0" borderId="70" xfId="0" quotePrefix="1" applyNumberFormat="1" applyFont="1" applyFill="1" applyBorder="1" applyAlignment="1">
      <alignment horizontal="center" vertical="center" wrapText="1"/>
    </xf>
    <xf numFmtId="49" fontId="24" fillId="0" borderId="70" xfId="0" quotePrefix="1" applyNumberFormat="1" applyFont="1" applyFill="1" applyBorder="1" applyAlignment="1">
      <alignment horizontal="center" vertical="center" wrapText="1"/>
    </xf>
    <xf numFmtId="49" fontId="24" fillId="0" borderId="35" xfId="0" applyNumberFormat="1" applyFont="1" applyFill="1" applyBorder="1" applyAlignment="1">
      <alignment vertical="top" wrapText="1"/>
    </xf>
    <xf numFmtId="49" fontId="28" fillId="0" borderId="63" xfId="0" quotePrefix="1" applyNumberFormat="1" applyFont="1" applyFill="1" applyBorder="1" applyAlignment="1">
      <alignment horizontal="center" vertical="center" wrapText="1"/>
    </xf>
    <xf numFmtId="49" fontId="24" fillId="0" borderId="63" xfId="0" quotePrefix="1" applyNumberFormat="1" applyFont="1" applyFill="1" applyBorder="1" applyAlignment="1">
      <alignment horizontal="center" vertical="center" wrapText="1"/>
    </xf>
    <xf numFmtId="49" fontId="63" fillId="0" borderId="63" xfId="0" quotePrefix="1" applyNumberFormat="1" applyFont="1" applyFill="1" applyBorder="1" applyAlignment="1">
      <alignment vertical="top" wrapText="1"/>
    </xf>
    <xf numFmtId="49" fontId="24" fillId="0" borderId="69" xfId="0" quotePrefix="1" applyNumberFormat="1" applyFont="1" applyFill="1" applyBorder="1" applyAlignment="1">
      <alignment vertical="top" wrapText="1"/>
    </xf>
    <xf numFmtId="49" fontId="28" fillId="0" borderId="69" xfId="0" quotePrefix="1" applyNumberFormat="1" applyFont="1" applyFill="1" applyBorder="1" applyAlignment="1">
      <alignment horizontal="center" vertical="center" wrapText="1"/>
    </xf>
    <xf numFmtId="49" fontId="24" fillId="0" borderId="69" xfId="0" quotePrefix="1" applyNumberFormat="1" applyFont="1" applyFill="1" applyBorder="1" applyAlignment="1">
      <alignment horizontal="center" vertical="center" wrapText="1"/>
    </xf>
    <xf numFmtId="49" fontId="24" fillId="0" borderId="37" xfId="0" applyNumberFormat="1" applyFont="1" applyFill="1" applyBorder="1" applyAlignment="1">
      <alignment vertical="top" wrapText="1"/>
    </xf>
    <xf numFmtId="49" fontId="24" fillId="0" borderId="66" xfId="0" quotePrefix="1" applyNumberFormat="1" applyFont="1" applyFill="1" applyBorder="1" applyAlignment="1">
      <alignment vertical="top" wrapText="1"/>
    </xf>
    <xf numFmtId="49" fontId="24" fillId="0" borderId="66" xfId="0" quotePrefix="1" applyNumberFormat="1" applyFont="1" applyFill="1" applyBorder="1" applyAlignment="1">
      <alignment horizontal="center" vertical="center" wrapText="1"/>
    </xf>
    <xf numFmtId="49" fontId="24" fillId="0" borderId="50" xfId="0" applyNumberFormat="1" applyFont="1" applyFill="1" applyBorder="1" applyAlignment="1">
      <alignment vertical="top" wrapText="1"/>
    </xf>
    <xf numFmtId="49" fontId="24" fillId="0" borderId="82" xfId="0" quotePrefix="1" applyNumberFormat="1" applyFont="1" applyFill="1" applyBorder="1" applyAlignment="1">
      <alignment vertical="top" wrapText="1"/>
    </xf>
    <xf numFmtId="49" fontId="24" fillId="0" borderId="82" xfId="0" quotePrefix="1" applyNumberFormat="1" applyFont="1" applyFill="1" applyBorder="1" applyAlignment="1">
      <alignment horizontal="center" vertical="center" wrapText="1"/>
    </xf>
    <xf numFmtId="49" fontId="24" fillId="0" borderId="83" xfId="0" applyNumberFormat="1" applyFont="1" applyFill="1" applyBorder="1" applyAlignment="1">
      <alignment vertical="top" wrapText="1"/>
    </xf>
    <xf numFmtId="49" fontId="28" fillId="0" borderId="60" xfId="0" quotePrefix="1" applyNumberFormat="1" applyFont="1" applyFill="1" applyBorder="1" applyAlignment="1">
      <alignment horizontal="center" vertical="center" wrapText="1"/>
    </xf>
    <xf numFmtId="49" fontId="24" fillId="0" borderId="60" xfId="0" quotePrefix="1" applyNumberFormat="1" applyFont="1" applyFill="1" applyBorder="1" applyAlignment="1">
      <alignment vertical="top" wrapText="1"/>
    </xf>
    <xf numFmtId="49" fontId="24" fillId="0" borderId="64" xfId="0" applyNumberFormat="1" applyFont="1" applyFill="1" applyBorder="1" applyAlignment="1">
      <alignment vertical="top" wrapText="1"/>
    </xf>
    <xf numFmtId="49" fontId="24" fillId="0" borderId="63" xfId="0" applyNumberFormat="1" applyFont="1" applyFill="1" applyBorder="1" applyAlignment="1">
      <alignment vertical="top"/>
    </xf>
    <xf numFmtId="49" fontId="24" fillId="0" borderId="81" xfId="0" quotePrefix="1" applyNumberFormat="1" applyFont="1" applyFill="1" applyBorder="1" applyAlignment="1">
      <alignment horizontal="center" vertical="center" wrapText="1"/>
    </xf>
    <xf numFmtId="49" fontId="24" fillId="0" borderId="81" xfId="0" applyNumberFormat="1" applyFont="1" applyFill="1" applyBorder="1" applyAlignment="1">
      <alignment vertical="top"/>
    </xf>
    <xf numFmtId="49" fontId="24" fillId="0" borderId="60" xfId="0" quotePrefix="1" applyNumberFormat="1" applyFont="1" applyFill="1" applyBorder="1" applyAlignment="1">
      <alignment horizontal="center" vertical="center" wrapText="1"/>
    </xf>
    <xf numFmtId="49" fontId="24" fillId="0" borderId="66" xfId="0" applyNumberFormat="1" applyFont="1" applyFill="1" applyBorder="1" applyAlignment="1">
      <alignment vertical="top"/>
    </xf>
    <xf numFmtId="49" fontId="24" fillId="0" borderId="84" xfId="0" applyNumberFormat="1" applyFont="1" applyFill="1" applyBorder="1" applyAlignment="1">
      <alignment vertical="top"/>
    </xf>
    <xf numFmtId="49" fontId="24" fillId="0" borderId="84" xfId="0" applyNumberFormat="1" applyFont="1" applyFill="1" applyBorder="1" applyAlignment="1">
      <alignment horizontal="center" vertical="center"/>
    </xf>
    <xf numFmtId="49" fontId="24" fillId="0" borderId="73" xfId="0" applyNumberFormat="1" applyFont="1" applyFill="1" applyBorder="1" applyAlignment="1">
      <alignment vertical="top" wrapText="1"/>
    </xf>
    <xf numFmtId="49" fontId="24" fillId="0" borderId="73" xfId="0" applyNumberFormat="1" applyFont="1" applyFill="1" applyBorder="1" applyAlignment="1">
      <alignment vertical="top"/>
    </xf>
    <xf numFmtId="49" fontId="24" fillId="0" borderId="74" xfId="0" applyNumberFormat="1" applyFont="1" applyFill="1" applyBorder="1" applyAlignment="1">
      <alignment vertical="top" wrapText="1"/>
    </xf>
    <xf numFmtId="49" fontId="24" fillId="0" borderId="63" xfId="0" applyNumberFormat="1" applyFont="1" applyFill="1" applyBorder="1" applyAlignment="1">
      <alignment horizontal="center" vertical="center"/>
    </xf>
    <xf numFmtId="49" fontId="24" fillId="0" borderId="63" xfId="0" applyNumberFormat="1" applyFont="1" applyFill="1" applyBorder="1" applyAlignment="1">
      <alignment vertical="top" wrapText="1"/>
    </xf>
    <xf numFmtId="49" fontId="24" fillId="0" borderId="85" xfId="0" applyNumberFormat="1" applyFont="1" applyFill="1" applyBorder="1" applyAlignment="1">
      <alignment vertical="top"/>
    </xf>
    <xf numFmtId="49" fontId="24" fillId="0" borderId="85" xfId="0" applyNumberFormat="1" applyFont="1" applyFill="1" applyBorder="1" applyAlignment="1">
      <alignment horizontal="center" vertical="center"/>
    </xf>
    <xf numFmtId="49" fontId="24" fillId="0" borderId="14" xfId="0" applyNumberFormat="1" applyFont="1" applyFill="1" applyBorder="1" applyAlignment="1">
      <alignment vertical="top" wrapText="1"/>
    </xf>
    <xf numFmtId="49" fontId="24" fillId="0" borderId="14" xfId="0" applyNumberFormat="1" applyFont="1" applyFill="1" applyBorder="1" applyAlignment="1">
      <alignment vertical="top"/>
    </xf>
    <xf numFmtId="49" fontId="24" fillId="0" borderId="61" xfId="0" applyNumberFormat="1" applyFont="1" applyFill="1" applyBorder="1" applyAlignment="1">
      <alignment vertical="top" wrapText="1"/>
    </xf>
    <xf numFmtId="49" fontId="24" fillId="0" borderId="86" xfId="0" quotePrefix="1" applyNumberFormat="1" applyFont="1" applyFill="1" applyBorder="1" applyAlignment="1">
      <alignment vertical="top" wrapText="1"/>
    </xf>
    <xf numFmtId="49" fontId="24" fillId="0" borderId="86" xfId="0" quotePrefix="1" applyNumberFormat="1" applyFont="1" applyFill="1" applyBorder="1" applyAlignment="1">
      <alignment horizontal="center" vertical="center" wrapText="1"/>
    </xf>
    <xf numFmtId="49" fontId="24" fillId="0" borderId="57" xfId="0" quotePrefix="1" applyNumberFormat="1" applyFont="1" applyFill="1" applyBorder="1" applyAlignment="1">
      <alignment vertical="top" wrapText="1"/>
    </xf>
    <xf numFmtId="49" fontId="24" fillId="0" borderId="57" xfId="0" applyNumberFormat="1" applyFont="1" applyFill="1" applyBorder="1" applyAlignment="1">
      <alignment vertical="top" wrapText="1"/>
    </xf>
    <xf numFmtId="49" fontId="24" fillId="0" borderId="53" xfId="0" applyNumberFormat="1" applyFont="1" applyFill="1" applyBorder="1" applyAlignment="1">
      <alignment vertical="top" wrapText="1"/>
    </xf>
    <xf numFmtId="49" fontId="27" fillId="0" borderId="0" xfId="0" quotePrefix="1" applyNumberFormat="1" applyFont="1" applyAlignment="1">
      <alignment horizontal="center" vertical="center"/>
    </xf>
    <xf numFmtId="0" fontId="60" fillId="6" borderId="64" xfId="0" applyFont="1" applyFill="1" applyBorder="1" applyAlignment="1">
      <alignment vertical="center" shrinkToFit="1"/>
    </xf>
    <xf numFmtId="0" fontId="56" fillId="5" borderId="2" xfId="0" applyFont="1" applyFill="1" applyBorder="1" applyAlignment="1">
      <alignment vertical="center" wrapText="1" readingOrder="1"/>
    </xf>
    <xf numFmtId="0" fontId="54" fillId="5" borderId="2" xfId="0" applyFont="1" applyFill="1" applyBorder="1" applyAlignment="1">
      <alignment vertical="center" readingOrder="1"/>
    </xf>
    <xf numFmtId="0" fontId="51" fillId="5" borderId="58" xfId="0" applyFont="1" applyFill="1" applyBorder="1" applyAlignment="1">
      <alignment horizontal="center" vertical="center" shrinkToFit="1"/>
    </xf>
    <xf numFmtId="0" fontId="47" fillId="6" borderId="0" xfId="4" applyFont="1" applyFill="1">
      <alignment vertical="center"/>
    </xf>
    <xf numFmtId="0" fontId="48" fillId="6" borderId="0" xfId="4" applyFont="1" applyFill="1" applyAlignment="1">
      <alignment vertical="center"/>
    </xf>
    <xf numFmtId="0" fontId="49" fillId="6" borderId="0" xfId="4" applyFont="1" applyFill="1" applyAlignment="1">
      <alignment vertical="center"/>
    </xf>
    <xf numFmtId="0" fontId="49" fillId="6" borderId="0" xfId="4" applyFont="1" applyFill="1" applyAlignment="1">
      <alignment horizontal="center" vertical="center"/>
    </xf>
    <xf numFmtId="0" fontId="49" fillId="6" borderId="0" xfId="4" applyFont="1" applyFill="1" applyBorder="1" applyAlignment="1">
      <alignment vertical="center"/>
    </xf>
    <xf numFmtId="14" fontId="50" fillId="6" borderId="0" xfId="4" applyNumberFormat="1" applyFont="1" applyFill="1" applyAlignment="1">
      <alignment horizontal="right" vertical="center"/>
    </xf>
    <xf numFmtId="0" fontId="51" fillId="2" borderId="55" xfId="4" applyFont="1" applyFill="1" applyBorder="1" applyAlignment="1">
      <alignment horizontal="center" vertical="center" shrinkToFit="1"/>
    </xf>
    <xf numFmtId="0" fontId="52" fillId="6" borderId="0" xfId="4" applyFont="1" applyFill="1" applyAlignment="1">
      <alignment horizontal="center" vertical="center"/>
    </xf>
    <xf numFmtId="0" fontId="51" fillId="6" borderId="16" xfId="4" applyFont="1" applyFill="1" applyBorder="1" applyAlignment="1">
      <alignment vertical="center" shrinkToFit="1"/>
    </xf>
    <xf numFmtId="0" fontId="51" fillId="6" borderId="14" xfId="4" applyFont="1" applyFill="1" applyBorder="1" applyAlignment="1">
      <alignment vertical="center" shrinkToFit="1"/>
    </xf>
    <xf numFmtId="0" fontId="50" fillId="6" borderId="70" xfId="4" applyFont="1" applyFill="1" applyBorder="1" applyAlignment="1">
      <alignment horizontal="center" vertical="center" readingOrder="1"/>
    </xf>
    <xf numFmtId="0" fontId="54" fillId="6" borderId="70" xfId="4" applyFont="1" applyFill="1" applyBorder="1" applyAlignment="1">
      <alignment vertical="center" readingOrder="1"/>
    </xf>
    <xf numFmtId="0" fontId="43" fillId="5" borderId="35" xfId="4" applyFont="1" applyFill="1" applyBorder="1" applyAlignment="1">
      <alignment horizontal="center" vertical="center" shrinkToFit="1"/>
    </xf>
    <xf numFmtId="0" fontId="51" fillId="6" borderId="35" xfId="4" applyFont="1" applyFill="1" applyBorder="1" applyAlignment="1">
      <alignment vertical="center" shrinkToFit="1"/>
    </xf>
    <xf numFmtId="0" fontId="5" fillId="6" borderId="0" xfId="4" applyFont="1" applyFill="1">
      <alignment vertical="center"/>
    </xf>
    <xf numFmtId="0" fontId="54" fillId="6" borderId="14" xfId="4" applyFont="1" applyFill="1" applyBorder="1" applyAlignment="1">
      <alignment vertical="center" readingOrder="1"/>
    </xf>
    <xf numFmtId="0" fontId="51" fillId="6" borderId="61" xfId="4" applyFont="1" applyFill="1" applyBorder="1" applyAlignment="1">
      <alignment vertical="center" shrinkToFit="1"/>
    </xf>
    <xf numFmtId="0" fontId="54" fillId="6" borderId="60" xfId="4" applyFont="1" applyFill="1" applyBorder="1" applyAlignment="1">
      <alignment vertical="center" wrapText="1" readingOrder="1"/>
    </xf>
    <xf numFmtId="0" fontId="51" fillId="6" borderId="71" xfId="4" applyFont="1" applyFill="1" applyBorder="1" applyAlignment="1">
      <alignment vertical="center" shrinkToFit="1"/>
    </xf>
    <xf numFmtId="0" fontId="50" fillId="6" borderId="14" xfId="4" applyFont="1" applyFill="1" applyBorder="1" applyAlignment="1">
      <alignment vertical="center" wrapText="1" readingOrder="1"/>
    </xf>
    <xf numFmtId="0" fontId="54" fillId="6" borderId="69" xfId="4" applyFont="1" applyFill="1" applyBorder="1" applyAlignment="1">
      <alignment vertical="center" readingOrder="1"/>
    </xf>
    <xf numFmtId="0" fontId="60" fillId="6" borderId="37" xfId="4" applyFont="1" applyFill="1" applyBorder="1" applyAlignment="1">
      <alignment vertical="center" shrinkToFit="1"/>
    </xf>
    <xf numFmtId="0" fontId="54" fillId="6" borderId="14" xfId="4" applyFont="1" applyFill="1" applyBorder="1" applyAlignment="1">
      <alignment vertical="center" wrapText="1" readingOrder="1"/>
    </xf>
    <xf numFmtId="0" fontId="60" fillId="6" borderId="61" xfId="4" applyFont="1" applyFill="1" applyBorder="1" applyAlignment="1">
      <alignment vertical="center" shrinkToFit="1"/>
    </xf>
    <xf numFmtId="0" fontId="54" fillId="6" borderId="60" xfId="4" applyFont="1" applyFill="1" applyBorder="1" applyAlignment="1">
      <alignment vertical="center" readingOrder="1"/>
    </xf>
    <xf numFmtId="0" fontId="60" fillId="6" borderId="64" xfId="4" applyFont="1" applyFill="1" applyBorder="1" applyAlignment="1">
      <alignment vertical="center" shrinkToFit="1"/>
    </xf>
    <xf numFmtId="0" fontId="67" fillId="6" borderId="0" xfId="4" applyFont="1" applyFill="1">
      <alignment vertical="center"/>
    </xf>
    <xf numFmtId="0" fontId="51" fillId="6" borderId="37" xfId="4" applyFont="1" applyFill="1" applyBorder="1" applyAlignment="1">
      <alignment vertical="center" shrinkToFit="1"/>
    </xf>
    <xf numFmtId="0" fontId="51" fillId="6" borderId="64" xfId="4" applyFont="1" applyFill="1" applyBorder="1" applyAlignment="1">
      <alignment vertical="center" shrinkToFit="1"/>
    </xf>
    <xf numFmtId="0" fontId="54" fillId="0" borderId="2" xfId="4" applyFont="1" applyFill="1" applyBorder="1" applyAlignment="1">
      <alignment vertical="center" wrapText="1" readingOrder="1"/>
    </xf>
    <xf numFmtId="0" fontId="54" fillId="0" borderId="2" xfId="4" applyFont="1" applyFill="1" applyBorder="1" applyAlignment="1">
      <alignment vertical="center" readingOrder="1"/>
    </xf>
    <xf numFmtId="0" fontId="60" fillId="6" borderId="58" xfId="4" applyFont="1" applyFill="1" applyBorder="1" applyAlignment="1">
      <alignment vertical="center" shrinkToFit="1"/>
    </xf>
    <xf numFmtId="0" fontId="54" fillId="6" borderId="13" xfId="4" applyFont="1" applyFill="1" applyBorder="1" applyAlignment="1">
      <alignment vertical="center" readingOrder="1"/>
    </xf>
    <xf numFmtId="0" fontId="51" fillId="6" borderId="52" xfId="4" applyFont="1" applyFill="1" applyBorder="1" applyAlignment="1">
      <alignment vertical="center" shrinkToFit="1"/>
    </xf>
    <xf numFmtId="0" fontId="54" fillId="6" borderId="63" xfId="4" applyFont="1" applyFill="1" applyBorder="1" applyAlignment="1">
      <alignment horizontal="center" vertical="center" readingOrder="1"/>
    </xf>
    <xf numFmtId="0" fontId="54" fillId="6" borderId="63" xfId="4" applyFont="1" applyFill="1" applyBorder="1" applyAlignment="1">
      <alignment vertical="center" readingOrder="1"/>
    </xf>
    <xf numFmtId="0" fontId="54" fillId="6" borderId="2" xfId="4" applyFont="1" applyFill="1" applyBorder="1" applyAlignment="1">
      <alignment vertical="center"/>
    </xf>
    <xf numFmtId="0" fontId="60" fillId="6" borderId="58" xfId="4" quotePrefix="1" applyFont="1" applyFill="1" applyBorder="1" applyAlignment="1">
      <alignment vertical="center" shrinkToFit="1"/>
    </xf>
    <xf numFmtId="0" fontId="51" fillId="6" borderId="14" xfId="4" applyNumberFormat="1" applyFont="1" applyFill="1" applyBorder="1" applyAlignment="1">
      <alignment vertical="center" wrapText="1" shrinkToFit="1"/>
    </xf>
    <xf numFmtId="0" fontId="51" fillId="6" borderId="61" xfId="4" quotePrefix="1" applyFont="1" applyFill="1" applyBorder="1" applyAlignment="1">
      <alignment horizontal="center" vertical="center" shrinkToFit="1"/>
    </xf>
    <xf numFmtId="0" fontId="51" fillId="6" borderId="61" xfId="4" quotePrefix="1" applyFont="1" applyFill="1" applyBorder="1" applyAlignment="1">
      <alignment vertical="center" shrinkToFit="1"/>
    </xf>
    <xf numFmtId="0" fontId="51" fillId="6" borderId="14" xfId="4" applyNumberFormat="1" applyFont="1" applyFill="1" applyBorder="1" applyAlignment="1">
      <alignment vertical="center" shrinkToFit="1"/>
    </xf>
    <xf numFmtId="0" fontId="51" fillId="6" borderId="4" xfId="4" applyFont="1" applyFill="1" applyBorder="1" applyAlignment="1">
      <alignment vertical="center" shrinkToFit="1"/>
    </xf>
    <xf numFmtId="0" fontId="51" fillId="6" borderId="19" xfId="4" applyFont="1" applyFill="1" applyBorder="1" applyAlignment="1">
      <alignment vertical="center" shrinkToFit="1"/>
    </xf>
    <xf numFmtId="0" fontId="51" fillId="6" borderId="19" xfId="4" applyNumberFormat="1" applyFont="1" applyFill="1" applyBorder="1" applyAlignment="1">
      <alignment vertical="center" shrinkToFit="1"/>
    </xf>
    <xf numFmtId="0" fontId="51" fillId="6" borderId="20" xfId="4" quotePrefix="1" applyFont="1" applyFill="1" applyBorder="1" applyAlignment="1">
      <alignment horizontal="center" vertical="center" shrinkToFit="1"/>
    </xf>
    <xf numFmtId="0" fontId="51" fillId="6" borderId="20" xfId="4" quotePrefix="1" applyFont="1" applyFill="1" applyBorder="1" applyAlignment="1">
      <alignment vertical="center" shrinkToFit="1"/>
    </xf>
    <xf numFmtId="0" fontId="43" fillId="6" borderId="8" xfId="4" applyFont="1" applyFill="1" applyBorder="1" applyAlignment="1">
      <alignment vertical="center"/>
    </xf>
    <xf numFmtId="0" fontId="51" fillId="6" borderId="6" xfId="4" applyFont="1" applyFill="1" applyBorder="1" applyAlignment="1">
      <alignment vertical="center" shrinkToFit="1"/>
    </xf>
    <xf numFmtId="0" fontId="53" fillId="6" borderId="6" xfId="4" applyFont="1" applyFill="1" applyBorder="1" applyAlignment="1">
      <alignment vertical="center" wrapText="1" readingOrder="1"/>
    </xf>
    <xf numFmtId="0" fontId="51" fillId="6" borderId="6" xfId="4" applyFont="1" applyFill="1" applyBorder="1" applyAlignment="1">
      <alignment vertical="center" wrapText="1" shrinkToFit="1"/>
    </xf>
    <xf numFmtId="0" fontId="51" fillId="6" borderId="6" xfId="4" applyNumberFormat="1" applyFont="1" applyFill="1" applyBorder="1" applyAlignment="1">
      <alignment vertical="center" shrinkToFit="1"/>
    </xf>
    <xf numFmtId="0" fontId="51" fillId="6" borderId="6" xfId="4" quotePrefix="1" applyFont="1" applyFill="1" applyBorder="1" applyAlignment="1">
      <alignment horizontal="center" vertical="center" shrinkToFit="1"/>
    </xf>
    <xf numFmtId="0" fontId="51" fillId="6" borderId="6" xfId="4" quotePrefix="1" applyFont="1" applyFill="1" applyBorder="1" applyAlignment="1">
      <alignment vertical="center" shrinkToFit="1"/>
    </xf>
    <xf numFmtId="0" fontId="51" fillId="6" borderId="0" xfId="4" applyFont="1" applyFill="1" applyBorder="1" applyAlignment="1">
      <alignment vertical="center" shrinkToFit="1"/>
    </xf>
    <xf numFmtId="0" fontId="53" fillId="6" borderId="0" xfId="4" applyFont="1" applyFill="1" applyBorder="1" applyAlignment="1">
      <alignment vertical="center" wrapText="1" readingOrder="1"/>
    </xf>
    <xf numFmtId="0" fontId="51" fillId="6" borderId="0" xfId="4" applyFont="1" applyFill="1" applyBorder="1" applyAlignment="1">
      <alignment vertical="center" wrapText="1" shrinkToFit="1"/>
    </xf>
    <xf numFmtId="0" fontId="51" fillId="6" borderId="0" xfId="4" applyNumberFormat="1" applyFont="1" applyFill="1" applyBorder="1" applyAlignment="1">
      <alignment vertical="center" shrinkToFit="1"/>
    </xf>
    <xf numFmtId="0" fontId="51" fillId="6" borderId="0" xfId="4" quotePrefix="1" applyFont="1" applyFill="1" applyBorder="1" applyAlignment="1">
      <alignment horizontal="center" vertical="center" shrinkToFit="1"/>
    </xf>
    <xf numFmtId="0" fontId="51" fillId="6" borderId="0" xfId="4" quotePrefix="1" applyFont="1" applyFill="1" applyBorder="1" applyAlignment="1">
      <alignment vertical="center" shrinkToFit="1"/>
    </xf>
    <xf numFmtId="0" fontId="51" fillId="6" borderId="8" xfId="4" applyFont="1" applyFill="1" applyBorder="1" applyAlignment="1">
      <alignment vertical="center"/>
    </xf>
    <xf numFmtId="0" fontId="53" fillId="6" borderId="0" xfId="4" applyFont="1" applyFill="1" applyBorder="1" applyAlignment="1">
      <alignment vertical="center"/>
    </xf>
    <xf numFmtId="0" fontId="51" fillId="6" borderId="11" xfId="4" quotePrefix="1" applyFont="1" applyFill="1" applyBorder="1" applyAlignment="1">
      <alignment vertical="center" shrinkToFit="1"/>
    </xf>
    <xf numFmtId="14" fontId="5" fillId="6" borderId="0" xfId="4" applyNumberFormat="1" applyFont="1" applyFill="1">
      <alignment vertical="center"/>
    </xf>
    <xf numFmtId="0" fontId="51" fillId="6" borderId="18" xfId="4" applyFont="1" applyFill="1" applyBorder="1" applyAlignment="1">
      <alignment vertical="center" shrinkToFit="1"/>
    </xf>
    <xf numFmtId="0" fontId="51" fillId="6" borderId="73" xfId="4" applyFont="1" applyFill="1" applyBorder="1" applyAlignment="1">
      <alignment vertical="center" shrinkToFit="1"/>
    </xf>
    <xf numFmtId="0" fontId="51" fillId="6" borderId="73" xfId="4" applyNumberFormat="1" applyFont="1" applyFill="1" applyBorder="1" applyAlignment="1">
      <alignment vertical="center" wrapText="1" shrinkToFit="1"/>
    </xf>
    <xf numFmtId="0" fontId="51" fillId="6" borderId="74" xfId="4" applyFont="1" applyFill="1" applyBorder="1" applyAlignment="1">
      <alignment vertical="center" shrinkToFit="1"/>
    </xf>
    <xf numFmtId="0" fontId="51" fillId="6" borderId="2" xfId="4" applyNumberFormat="1" applyFont="1" applyFill="1" applyBorder="1" applyAlignment="1">
      <alignment vertical="center" shrinkToFit="1"/>
    </xf>
    <xf numFmtId="0" fontId="51" fillId="6" borderId="58" xfId="4" applyFont="1" applyFill="1" applyBorder="1" applyAlignment="1">
      <alignment vertical="center" shrinkToFit="1"/>
    </xf>
    <xf numFmtId="0" fontId="51" fillId="6" borderId="14" xfId="4" applyNumberFormat="1" applyFont="1" applyFill="1" applyBorder="1" applyAlignment="1">
      <alignment horizontal="left" vertical="top" wrapText="1"/>
    </xf>
    <xf numFmtId="0" fontId="51" fillId="6" borderId="14" xfId="4" applyNumberFormat="1" applyFont="1" applyFill="1" applyBorder="1" applyAlignment="1">
      <alignment vertical="center" wrapText="1"/>
    </xf>
    <xf numFmtId="0" fontId="51" fillId="6" borderId="2" xfId="4" applyNumberFormat="1" applyFont="1" applyFill="1" applyBorder="1" applyAlignment="1">
      <alignment vertical="center" wrapText="1"/>
    </xf>
    <xf numFmtId="0" fontId="51" fillId="6" borderId="14" xfId="4" applyNumberFormat="1" applyFont="1" applyFill="1" applyBorder="1">
      <alignment vertical="center"/>
    </xf>
    <xf numFmtId="0" fontId="43" fillId="6" borderId="14" xfId="4" applyNumberFormat="1" applyFont="1" applyFill="1" applyBorder="1" applyAlignment="1">
      <alignment vertical="center" wrapText="1"/>
    </xf>
    <xf numFmtId="0" fontId="51" fillId="6" borderId="13" xfId="4" applyNumberFormat="1" applyFont="1" applyFill="1" applyBorder="1">
      <alignment vertical="center"/>
    </xf>
    <xf numFmtId="0" fontId="51" fillId="6" borderId="61" xfId="4" applyFont="1" applyFill="1" applyBorder="1" applyAlignment="1">
      <alignment horizontal="left" vertical="center" shrinkToFit="1"/>
    </xf>
    <xf numFmtId="0" fontId="51" fillId="6" borderId="58" xfId="4" applyFont="1" applyFill="1" applyBorder="1" applyAlignment="1">
      <alignment horizontal="left" vertical="center" shrinkToFit="1"/>
    </xf>
    <xf numFmtId="0" fontId="51" fillId="6" borderId="2" xfId="4" applyNumberFormat="1" applyFont="1" applyFill="1" applyBorder="1">
      <alignment vertical="center"/>
    </xf>
    <xf numFmtId="0" fontId="51" fillId="6" borderId="2" xfId="4" applyNumberFormat="1" applyFont="1" applyFill="1" applyBorder="1" applyAlignment="1">
      <alignment horizontal="left" vertical="center" shrinkToFit="1"/>
    </xf>
    <xf numFmtId="0" fontId="51" fillId="6" borderId="19" xfId="4" applyNumberFormat="1" applyFont="1" applyFill="1" applyBorder="1" applyAlignment="1">
      <alignment horizontal="left" vertical="center" shrinkToFit="1"/>
    </xf>
    <xf numFmtId="0" fontId="5" fillId="6" borderId="0" xfId="4" applyFont="1" applyFill="1" applyAlignment="1">
      <alignment horizontal="left" vertical="center"/>
    </xf>
    <xf numFmtId="0" fontId="5" fillId="6" borderId="0" xfId="4" applyFont="1" applyFill="1" applyAlignment="1">
      <alignment horizontal="center" vertical="center" shrinkToFit="1"/>
    </xf>
    <xf numFmtId="0" fontId="5" fillId="6" borderId="0" xfId="4" applyFont="1" applyFill="1" applyAlignment="1">
      <alignment horizontal="left" vertical="center" shrinkToFit="1"/>
    </xf>
    <xf numFmtId="0" fontId="51" fillId="6" borderId="8" xfId="4" applyFont="1" applyFill="1" applyBorder="1" applyAlignment="1">
      <alignment vertical="center" shrinkToFit="1"/>
    </xf>
    <xf numFmtId="0" fontId="5" fillId="0" borderId="0" xfId="4" applyFont="1" applyFill="1" applyAlignment="1">
      <alignment horizontal="left" vertical="center" shrinkToFit="1"/>
    </xf>
    <xf numFmtId="0" fontId="57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57" fillId="0" borderId="0" xfId="0" applyFont="1" applyAlignment="1">
      <alignment horizontal="right" vertical="center"/>
    </xf>
    <xf numFmtId="0" fontId="57" fillId="8" borderId="15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 vertical="center"/>
    </xf>
    <xf numFmtId="0" fontId="57" fillId="0" borderId="2" xfId="0" quotePrefix="1" applyFont="1" applyBorder="1" applyAlignment="1">
      <alignment vertical="center" wrapText="1"/>
    </xf>
    <xf numFmtId="0" fontId="59" fillId="0" borderId="1" xfId="0" quotePrefix="1" applyFont="1" applyBorder="1" applyAlignment="1">
      <alignment vertical="center" wrapText="1"/>
    </xf>
    <xf numFmtId="0" fontId="57" fillId="0" borderId="1" xfId="0" quotePrefix="1" applyFont="1" applyBorder="1" applyAlignment="1">
      <alignment vertical="center"/>
    </xf>
    <xf numFmtId="0" fontId="59" fillId="0" borderId="1" xfId="0" applyFont="1" applyBorder="1" applyAlignment="1">
      <alignment vertical="center" wrapText="1"/>
    </xf>
    <xf numFmtId="0" fontId="57" fillId="0" borderId="1" xfId="0" quotePrefix="1" applyFont="1" applyBorder="1" applyAlignment="1">
      <alignment vertical="center" wrapText="1"/>
    </xf>
    <xf numFmtId="0" fontId="59" fillId="0" borderId="1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58" fillId="0" borderId="1" xfId="0" quotePrefix="1" applyFont="1" applyBorder="1" applyAlignment="1">
      <alignment vertical="center" wrapText="1"/>
    </xf>
    <xf numFmtId="0" fontId="57" fillId="0" borderId="2" xfId="0" quotePrefix="1" applyFont="1" applyBorder="1" applyAlignment="1">
      <alignment vertical="center"/>
    </xf>
    <xf numFmtId="0" fontId="57" fillId="0" borderId="0" xfId="0" quotePrefix="1" applyFont="1" applyAlignment="1">
      <alignment vertical="center"/>
    </xf>
    <xf numFmtId="0" fontId="51" fillId="2" borderId="67" xfId="4" applyFont="1" applyFill="1" applyBorder="1" applyAlignment="1">
      <alignment horizontal="center" vertical="center" shrinkToFit="1"/>
    </xf>
    <xf numFmtId="0" fontId="43" fillId="5" borderId="58" xfId="4" applyFont="1" applyFill="1" applyBorder="1" applyAlignment="1">
      <alignment horizontal="center" vertical="center" shrinkToFit="1"/>
    </xf>
    <xf numFmtId="0" fontId="51" fillId="2" borderId="54" xfId="4" applyFont="1" applyFill="1" applyBorder="1" applyAlignment="1">
      <alignment horizontal="center" vertical="center" shrinkToFit="1"/>
    </xf>
    <xf numFmtId="0" fontId="56" fillId="6" borderId="60" xfId="4" applyFont="1" applyFill="1" applyBorder="1" applyAlignment="1">
      <alignment vertical="center" wrapText="1" readingOrder="1"/>
    </xf>
    <xf numFmtId="0" fontId="56" fillId="6" borderId="14" xfId="4" applyFont="1" applyFill="1" applyBorder="1" applyAlignment="1">
      <alignment vertical="center" readingOrder="1"/>
    </xf>
    <xf numFmtId="0" fontId="56" fillId="6" borderId="69" xfId="4" applyFont="1" applyFill="1" applyBorder="1" applyAlignment="1">
      <alignment vertical="center" readingOrder="1"/>
    </xf>
    <xf numFmtId="0" fontId="56" fillId="6" borderId="14" xfId="4" applyFont="1" applyFill="1" applyBorder="1" applyAlignment="1">
      <alignment vertical="center"/>
    </xf>
    <xf numFmtId="0" fontId="71" fillId="6" borderId="64" xfId="4" quotePrefix="1" applyFont="1" applyFill="1" applyBorder="1" applyAlignment="1">
      <alignment vertical="center" shrinkToFit="1"/>
    </xf>
    <xf numFmtId="0" fontId="70" fillId="6" borderId="61" xfId="4" applyFont="1" applyFill="1" applyBorder="1" applyAlignment="1">
      <alignment vertical="center" shrinkToFit="1"/>
    </xf>
    <xf numFmtId="0" fontId="71" fillId="6" borderId="61" xfId="4" quotePrefix="1" applyFont="1" applyFill="1" applyBorder="1" applyAlignment="1">
      <alignment vertical="center" shrinkToFit="1"/>
    </xf>
    <xf numFmtId="0" fontId="72" fillId="6" borderId="61" xfId="4" quotePrefix="1" applyFont="1" applyFill="1" applyBorder="1" applyAlignment="1">
      <alignment vertical="center" shrinkToFit="1"/>
    </xf>
    <xf numFmtId="0" fontId="71" fillId="6" borderId="72" xfId="4" quotePrefix="1" applyFont="1" applyFill="1" applyBorder="1" applyAlignment="1">
      <alignment vertical="center" shrinkToFit="1"/>
    </xf>
    <xf numFmtId="0" fontId="43" fillId="9" borderId="36" xfId="4" applyFont="1" applyFill="1" applyBorder="1" applyAlignment="1">
      <alignment horizontal="center" vertical="center" wrapText="1" shrinkToFit="1"/>
    </xf>
    <xf numFmtId="0" fontId="51" fillId="6" borderId="36" xfId="4" applyFont="1" applyFill="1" applyBorder="1" applyAlignment="1">
      <alignment horizontal="center" vertical="center" wrapText="1" shrinkToFit="1"/>
    </xf>
    <xf numFmtId="0" fontId="45" fillId="6" borderId="0" xfId="4" applyFont="1" applyFill="1" applyAlignment="1">
      <alignment horizontal="center" vertical="center"/>
    </xf>
    <xf numFmtId="0" fontId="51" fillId="6" borderId="64" xfId="4" applyFont="1" applyFill="1" applyBorder="1" applyAlignment="1">
      <alignment horizontal="center" vertical="center" shrinkToFit="1"/>
    </xf>
    <xf numFmtId="0" fontId="54" fillId="6" borderId="68" xfId="4" applyFont="1" applyFill="1" applyBorder="1" applyAlignment="1">
      <alignment vertical="center" readingOrder="1"/>
    </xf>
    <xf numFmtId="0" fontId="43" fillId="0" borderId="93" xfId="4" applyFont="1" applyFill="1" applyBorder="1" applyAlignment="1">
      <alignment horizontal="center" vertical="center" shrinkToFit="1"/>
    </xf>
    <xf numFmtId="0" fontId="51" fillId="6" borderId="93" xfId="4" applyFont="1" applyFill="1" applyBorder="1" applyAlignment="1">
      <alignment vertical="center" shrinkToFit="1"/>
    </xf>
    <xf numFmtId="0" fontId="56" fillId="2" borderId="14" xfId="4" applyFont="1" applyFill="1" applyBorder="1" applyAlignment="1">
      <alignment vertical="center" readingOrder="1"/>
    </xf>
    <xf numFmtId="0" fontId="51" fillId="2" borderId="61" xfId="4" quotePrefix="1" applyFont="1" applyFill="1" applyBorder="1" applyAlignment="1">
      <alignment vertical="center" shrinkToFit="1"/>
    </xf>
    <xf numFmtId="0" fontId="54" fillId="2" borderId="14" xfId="4" applyFont="1" applyFill="1" applyBorder="1" applyAlignment="1">
      <alignment vertical="center" readingOrder="1"/>
    </xf>
    <xf numFmtId="0" fontId="51" fillId="0" borderId="72" xfId="4" applyFont="1" applyFill="1" applyBorder="1" applyAlignment="1">
      <alignment vertical="center" shrinkToFit="1"/>
    </xf>
    <xf numFmtId="0" fontId="51" fillId="2" borderId="89" xfId="4" applyFont="1" applyFill="1" applyBorder="1" applyAlignment="1">
      <alignment vertical="center" shrinkToFit="1"/>
    </xf>
    <xf numFmtId="0" fontId="51" fillId="2" borderId="71" xfId="4" applyFont="1" applyFill="1" applyBorder="1" applyAlignment="1">
      <alignment vertical="center" shrinkToFit="1"/>
    </xf>
    <xf numFmtId="0" fontId="43" fillId="0" borderId="64" xfId="4" applyFont="1" applyFill="1" applyBorder="1" applyAlignment="1">
      <alignment horizontal="center" vertical="center" wrapText="1" shrinkToFit="1"/>
    </xf>
    <xf numFmtId="0" fontId="51" fillId="2" borderId="61" xfId="4" applyFont="1" applyFill="1" applyBorder="1" applyAlignment="1">
      <alignment vertical="center" shrinkToFit="1"/>
    </xf>
    <xf numFmtId="0" fontId="54" fillId="2" borderId="14" xfId="4" applyFont="1" applyFill="1" applyBorder="1" applyAlignment="1">
      <alignment vertical="center"/>
    </xf>
    <xf numFmtId="0" fontId="51" fillId="2" borderId="89" xfId="4" quotePrefix="1" applyFont="1" applyFill="1" applyBorder="1" applyAlignment="1">
      <alignment vertical="center" wrapText="1" shrinkToFit="1"/>
    </xf>
    <xf numFmtId="0" fontId="51" fillId="6" borderId="3" xfId="4" applyFont="1" applyFill="1" applyBorder="1" applyAlignment="1">
      <alignment vertical="center" shrinkToFit="1"/>
    </xf>
    <xf numFmtId="0" fontId="54" fillId="2" borderId="2" xfId="4" applyFont="1" applyFill="1" applyBorder="1" applyAlignment="1">
      <alignment vertical="center"/>
    </xf>
    <xf numFmtId="0" fontId="51" fillId="2" borderId="58" xfId="4" quotePrefix="1" applyFont="1" applyFill="1" applyBorder="1" applyAlignment="1">
      <alignment vertical="center" shrinkToFit="1"/>
    </xf>
    <xf numFmtId="0" fontId="43" fillId="6" borderId="6" xfId="4" applyFont="1" applyFill="1" applyBorder="1" applyAlignment="1">
      <alignment vertical="center"/>
    </xf>
    <xf numFmtId="0" fontId="57" fillId="2" borderId="1" xfId="0" applyFont="1" applyFill="1" applyBorder="1" applyAlignment="1">
      <alignment vertical="center"/>
    </xf>
    <xf numFmtId="0" fontId="59" fillId="2" borderId="1" xfId="0" applyFont="1" applyFill="1" applyBorder="1" applyAlignment="1">
      <alignment vertical="center" wrapText="1"/>
    </xf>
    <xf numFmtId="0" fontId="57" fillId="2" borderId="2" xfId="0" quotePrefix="1" applyFont="1" applyFill="1" applyBorder="1" applyAlignment="1">
      <alignment vertical="center" wrapText="1"/>
    </xf>
    <xf numFmtId="0" fontId="57" fillId="2" borderId="1" xfId="0" applyFont="1" applyFill="1" applyBorder="1" applyAlignment="1">
      <alignment vertical="center" wrapText="1"/>
    </xf>
    <xf numFmtId="0" fontId="13" fillId="2" borderId="1" xfId="0" quotePrefix="1" applyFont="1" applyFill="1" applyBorder="1" applyAlignment="1">
      <alignment vertical="center" wrapText="1"/>
    </xf>
    <xf numFmtId="0" fontId="76" fillId="0" borderId="1" xfId="0" quotePrefix="1" applyFont="1" applyBorder="1" applyAlignment="1">
      <alignment vertical="center" wrapText="1"/>
    </xf>
    <xf numFmtId="0" fontId="76" fillId="0" borderId="1" xfId="0" applyFont="1" applyBorder="1" applyAlignment="1">
      <alignment vertical="center" wrapText="1"/>
    </xf>
    <xf numFmtId="49" fontId="76" fillId="0" borderId="63" xfId="0" quotePrefix="1" applyNumberFormat="1" applyFont="1" applyFill="1" applyBorder="1" applyAlignment="1">
      <alignment vertical="top" wrapText="1"/>
    </xf>
    <xf numFmtId="49" fontId="76" fillId="0" borderId="27" xfId="0" quotePrefix="1" applyNumberFormat="1" applyFont="1" applyFill="1" applyBorder="1" applyAlignment="1">
      <alignment horizontal="center" vertical="center" wrapText="1"/>
    </xf>
    <xf numFmtId="49" fontId="77" fillId="0" borderId="63" xfId="0" quotePrefix="1" applyNumberFormat="1" applyFont="1" applyFill="1" applyBorder="1" applyAlignment="1">
      <alignment vertical="top" wrapText="1"/>
    </xf>
    <xf numFmtId="49" fontId="77" fillId="0" borderId="69" xfId="0" quotePrefix="1" applyNumberFormat="1" applyFont="1" applyFill="1" applyBorder="1" applyAlignment="1">
      <alignment vertical="top" wrapText="1"/>
    </xf>
    <xf numFmtId="49" fontId="24" fillId="0" borderId="69" xfId="0" applyNumberFormat="1" applyFont="1" applyFill="1" applyBorder="1" applyAlignment="1">
      <alignment vertical="top"/>
    </xf>
    <xf numFmtId="49" fontId="24" fillId="0" borderId="18" xfId="0" applyNumberFormat="1" applyFont="1" applyFill="1" applyBorder="1" applyAlignment="1">
      <alignment vertical="center" wrapText="1"/>
    </xf>
    <xf numFmtId="49" fontId="24" fillId="0" borderId="16" xfId="0" applyNumberFormat="1" applyFont="1" applyFill="1" applyBorder="1" applyAlignment="1">
      <alignment vertical="center" wrapText="1"/>
    </xf>
    <xf numFmtId="49" fontId="78" fillId="0" borderId="63" xfId="0" quotePrefix="1" applyNumberFormat="1" applyFont="1" applyFill="1" applyBorder="1" applyAlignment="1">
      <alignment vertical="top" wrapText="1"/>
    </xf>
    <xf numFmtId="49" fontId="76" fillId="0" borderId="63" xfId="0" quotePrefix="1" applyNumberFormat="1" applyFont="1" applyFill="1" applyBorder="1" applyAlignment="1">
      <alignment horizontal="center" vertical="center" wrapText="1"/>
    </xf>
    <xf numFmtId="49" fontId="24" fillId="0" borderId="4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80" fillId="0" borderId="0" xfId="0" applyFont="1" applyAlignment="1">
      <alignment horizontal="right" vertical="center"/>
    </xf>
    <xf numFmtId="0" fontId="81" fillId="0" borderId="0" xfId="0" applyFont="1">
      <alignment vertical="center"/>
    </xf>
    <xf numFmtId="0" fontId="83" fillId="10" borderId="73" xfId="0" applyFont="1" applyFill="1" applyBorder="1" applyAlignment="1">
      <alignment horizontal="center" vertical="center" wrapText="1"/>
    </xf>
    <xf numFmtId="0" fontId="84" fillId="10" borderId="98" xfId="0" applyFont="1" applyFill="1" applyBorder="1" applyAlignment="1">
      <alignment horizontal="center" vertical="center"/>
    </xf>
    <xf numFmtId="0" fontId="84" fillId="10" borderId="99" xfId="0" applyFont="1" applyFill="1" applyBorder="1" applyAlignment="1">
      <alignment horizontal="center" vertical="center"/>
    </xf>
    <xf numFmtId="0" fontId="83" fillId="10" borderId="100" xfId="0" applyFont="1" applyFill="1" applyBorder="1" applyAlignment="1">
      <alignment horizontal="center" vertical="center" wrapText="1"/>
    </xf>
    <xf numFmtId="0" fontId="85" fillId="0" borderId="102" xfId="0" applyFont="1" applyBorder="1" applyAlignment="1">
      <alignment horizontal="center" vertical="center"/>
    </xf>
    <xf numFmtId="0" fontId="85" fillId="0" borderId="102" xfId="0" applyFont="1" applyBorder="1" applyAlignment="1">
      <alignment horizontal="center" vertical="center" wrapText="1"/>
    </xf>
    <xf numFmtId="0" fontId="85" fillId="0" borderId="102" xfId="0" applyFont="1" applyBorder="1" applyAlignment="1">
      <alignment horizontal="left" vertical="center" wrapText="1"/>
    </xf>
    <xf numFmtId="0" fontId="85" fillId="0" borderId="103" xfId="0" applyFont="1" applyBorder="1" applyAlignment="1">
      <alignment horizontal="left" vertical="center" wrapText="1"/>
    </xf>
    <xf numFmtId="0" fontId="85" fillId="0" borderId="2" xfId="0" applyFont="1" applyBorder="1" applyAlignment="1">
      <alignment horizontal="center" vertical="center"/>
    </xf>
    <xf numFmtId="0" fontId="85" fillId="0" borderId="2" xfId="0" applyFont="1" applyBorder="1" applyAlignment="1">
      <alignment horizontal="center" vertical="center" wrapText="1"/>
    </xf>
    <xf numFmtId="0" fontId="85" fillId="0" borderId="2" xfId="0" applyFont="1" applyBorder="1" applyAlignment="1">
      <alignment horizontal="left" vertical="center" wrapText="1"/>
    </xf>
    <xf numFmtId="0" fontId="85" fillId="0" borderId="58" xfId="0" applyFont="1" applyBorder="1" applyAlignment="1">
      <alignment horizontal="left" vertical="center" wrapText="1"/>
    </xf>
    <xf numFmtId="0" fontId="85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left" vertical="center" wrapText="1"/>
    </xf>
    <xf numFmtId="0" fontId="85" fillId="0" borderId="104" xfId="0" applyFont="1" applyBorder="1" applyAlignment="1">
      <alignment horizontal="left" vertical="center" wrapText="1"/>
    </xf>
    <xf numFmtId="0" fontId="86" fillId="0" borderId="1" xfId="0" applyFont="1" applyBorder="1" applyAlignment="1">
      <alignment horizontal="center" vertical="center" wrapText="1"/>
    </xf>
    <xf numFmtId="0" fontId="86" fillId="0" borderId="1" xfId="0" applyFont="1" applyBorder="1" applyAlignment="1">
      <alignment horizontal="left" vertical="center" wrapText="1"/>
    </xf>
    <xf numFmtId="0" fontId="86" fillId="0" borderId="1" xfId="0" applyFont="1" applyBorder="1" applyAlignment="1">
      <alignment horizontal="center" vertical="center"/>
    </xf>
    <xf numFmtId="0" fontId="86" fillId="0" borderId="104" xfId="0" applyFont="1" applyBorder="1" applyAlignment="1">
      <alignment horizontal="left" vertical="center" wrapText="1"/>
    </xf>
    <xf numFmtId="0" fontId="85" fillId="0" borderId="1" xfId="0" applyFont="1" applyBorder="1" applyAlignment="1">
      <alignment horizontal="center" vertical="center" wrapText="1"/>
    </xf>
    <xf numFmtId="0" fontId="86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0" fontId="86" fillId="0" borderId="52" xfId="0" applyFont="1" applyBorder="1" applyAlignment="1">
      <alignment horizontal="left" vertical="center" wrapText="1"/>
    </xf>
    <xf numFmtId="0" fontId="85" fillId="0" borderId="57" xfId="0" applyFont="1" applyBorder="1" applyAlignment="1">
      <alignment horizontal="center" vertical="center" wrapText="1"/>
    </xf>
    <xf numFmtId="0" fontId="87" fillId="0" borderId="57" xfId="0" applyFont="1" applyBorder="1" applyAlignment="1">
      <alignment horizontal="center" vertical="center" wrapText="1"/>
    </xf>
    <xf numFmtId="0" fontId="3" fillId="0" borderId="57" xfId="0" applyFont="1" applyBorder="1" applyAlignment="1">
      <alignment vertical="center" wrapText="1"/>
    </xf>
    <xf numFmtId="0" fontId="88" fillId="0" borderId="57" xfId="0" applyFont="1" applyFill="1" applyBorder="1" applyAlignment="1">
      <alignment horizontal="center" vertical="center"/>
    </xf>
    <xf numFmtId="0" fontId="85" fillId="0" borderId="57" xfId="0" applyFont="1" applyFill="1" applyBorder="1" applyAlignment="1">
      <alignment horizontal="center" vertical="center"/>
    </xf>
    <xf numFmtId="0" fontId="88" fillId="0" borderId="53" xfId="0" applyFont="1" applyFill="1" applyBorder="1" applyAlignment="1">
      <alignment horizontal="left" vertical="center" wrapText="1"/>
    </xf>
    <xf numFmtId="0" fontId="85" fillId="0" borderId="24" xfId="0" applyFont="1" applyBorder="1" applyAlignment="1">
      <alignment horizontal="center" vertical="center"/>
    </xf>
    <xf numFmtId="0" fontId="85" fillId="0" borderId="24" xfId="0" applyFont="1" applyBorder="1" applyAlignment="1">
      <alignment horizontal="left" vertical="center" wrapText="1"/>
    </xf>
    <xf numFmtId="0" fontId="85" fillId="0" borderId="25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85" fillId="4" borderId="1" xfId="0" applyFont="1" applyFill="1" applyBorder="1" applyAlignment="1">
      <alignment horizontal="center" vertical="center"/>
    </xf>
    <xf numFmtId="0" fontId="86" fillId="4" borderId="1" xfId="0" applyFont="1" applyFill="1" applyBorder="1" applyAlignment="1">
      <alignment horizontal="center" vertical="center"/>
    </xf>
    <xf numFmtId="0" fontId="86" fillId="4" borderId="104" xfId="0" applyFont="1" applyFill="1" applyBorder="1" applyAlignment="1">
      <alignment horizontal="left" vertical="center" wrapText="1"/>
    </xf>
    <xf numFmtId="0" fontId="46" fillId="0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04" xfId="0" applyFont="1" applyFill="1" applyBorder="1" applyAlignment="1">
      <alignment horizontal="left" vertical="center" wrapText="1"/>
    </xf>
    <xf numFmtId="0" fontId="85" fillId="0" borderId="1" xfId="0" applyFont="1" applyBorder="1" applyAlignment="1">
      <alignment horizontal="left" vertical="center"/>
    </xf>
    <xf numFmtId="0" fontId="88" fillId="0" borderId="104" xfId="0" quotePrefix="1" applyFont="1" applyFill="1" applyBorder="1" applyAlignment="1">
      <alignment horizontal="left" vertical="center" wrapText="1"/>
    </xf>
    <xf numFmtId="0" fontId="46" fillId="0" borderId="1" xfId="0" applyFont="1" applyFill="1" applyBorder="1" applyAlignment="1">
      <alignment horizontal="center" vertical="center" wrapText="1"/>
    </xf>
    <xf numFmtId="0" fontId="85" fillId="0" borderId="57" xfId="0" applyFont="1" applyBorder="1" applyAlignment="1">
      <alignment horizontal="center" vertical="center"/>
    </xf>
    <xf numFmtId="0" fontId="85" fillId="0" borderId="57" xfId="0" applyFont="1" applyBorder="1" applyAlignment="1">
      <alignment horizontal="left" vertical="center"/>
    </xf>
    <xf numFmtId="0" fontId="86" fillId="0" borderId="57" xfId="0" applyFont="1" applyBorder="1" applyAlignment="1">
      <alignment horizontal="left" vertical="center" wrapText="1"/>
    </xf>
    <xf numFmtId="0" fontId="86" fillId="0" borderId="57" xfId="0" applyFont="1" applyBorder="1" applyAlignment="1">
      <alignment horizontal="center" vertical="center"/>
    </xf>
    <xf numFmtId="0" fontId="86" fillId="0" borderId="53" xfId="0" applyFont="1" applyBorder="1" applyAlignment="1">
      <alignment horizontal="left" vertical="center" wrapText="1"/>
    </xf>
    <xf numFmtId="0" fontId="46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left" vertical="center" wrapText="1"/>
    </xf>
    <xf numFmtId="0" fontId="85" fillId="0" borderId="104" xfId="0" applyFont="1" applyBorder="1" applyAlignment="1">
      <alignment vertical="center" wrapText="1"/>
    </xf>
    <xf numFmtId="0" fontId="46" fillId="0" borderId="1" xfId="0" applyFont="1" applyBorder="1" applyAlignment="1">
      <alignment vertical="center"/>
    </xf>
    <xf numFmtId="0" fontId="46" fillId="0" borderId="1" xfId="0" applyFont="1" applyBorder="1" applyAlignment="1">
      <alignment vertical="center" wrapText="1"/>
    </xf>
    <xf numFmtId="0" fontId="46" fillId="0" borderId="1" xfId="5" applyFont="1" applyBorder="1" applyAlignment="1">
      <alignment horizontal="center" vertical="center" wrapText="1"/>
    </xf>
    <xf numFmtId="0" fontId="85" fillId="0" borderId="1" xfId="5" applyFont="1" applyBorder="1" applyAlignment="1">
      <alignment horizontal="center" vertical="center" wrapText="1"/>
    </xf>
    <xf numFmtId="0" fontId="46" fillId="0" borderId="1" xfId="5" applyFont="1" applyBorder="1" applyAlignment="1">
      <alignment horizontal="left" vertical="center" wrapText="1"/>
    </xf>
    <xf numFmtId="0" fontId="46" fillId="0" borderId="1" xfId="5" applyFont="1" applyBorder="1" applyAlignment="1">
      <alignment horizontal="center" vertical="center"/>
    </xf>
    <xf numFmtId="0" fontId="86" fillId="4" borderId="1" xfId="5" applyFont="1" applyFill="1" applyBorder="1" applyAlignment="1">
      <alignment horizontal="center" vertical="center"/>
    </xf>
    <xf numFmtId="0" fontId="86" fillId="0" borderId="1" xfId="5" applyFont="1" applyBorder="1" applyAlignment="1">
      <alignment horizontal="center" vertical="center"/>
    </xf>
    <xf numFmtId="0" fontId="46" fillId="4" borderId="104" xfId="0" applyFont="1" applyFill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46" fillId="0" borderId="104" xfId="0" applyFont="1" applyBorder="1" applyAlignment="1">
      <alignment horizontal="left" vertical="center" wrapText="1"/>
    </xf>
    <xf numFmtId="0" fontId="84" fillId="0" borderId="105" xfId="0" applyFont="1" applyBorder="1" applyAlignment="1">
      <alignment horizontal="center" vertical="center" wrapText="1"/>
    </xf>
    <xf numFmtId="0" fontId="85" fillId="0" borderId="57" xfId="0" applyFont="1" applyBorder="1" applyAlignment="1">
      <alignment horizontal="left" vertical="center" wrapText="1"/>
    </xf>
    <xf numFmtId="0" fontId="85" fillId="0" borderId="53" xfId="0" applyFont="1" applyBorder="1" applyAlignment="1">
      <alignment horizontal="left" vertical="center" wrapText="1"/>
    </xf>
    <xf numFmtId="0" fontId="90" fillId="0" borderId="0" xfId="0" applyFont="1">
      <alignment vertical="center"/>
    </xf>
    <xf numFmtId="0" fontId="0" fillId="0" borderId="0" xfId="0" applyAlignment="1">
      <alignment horizontal="right" wrapText="1"/>
    </xf>
    <xf numFmtId="0" fontId="84" fillId="10" borderId="73" xfId="0" applyFont="1" applyFill="1" applyBorder="1" applyAlignment="1">
      <alignment horizontal="center" vertical="center"/>
    </xf>
    <xf numFmtId="0" fontId="84" fillId="10" borderId="15" xfId="0" applyFont="1" applyFill="1" applyBorder="1" applyAlignment="1">
      <alignment horizontal="center" vertical="center" wrapText="1"/>
    </xf>
    <xf numFmtId="0" fontId="84" fillId="10" borderId="108" xfId="0" applyFont="1" applyFill="1" applyBorder="1" applyAlignment="1">
      <alignment horizontal="center" vertical="center"/>
    </xf>
    <xf numFmtId="0" fontId="85" fillId="0" borderId="111" xfId="0" applyFont="1" applyBorder="1" applyAlignment="1">
      <alignment horizontal="center" vertical="center"/>
    </xf>
    <xf numFmtId="0" fontId="85" fillId="0" borderId="112" xfId="0" applyFont="1" applyBorder="1" applyAlignment="1">
      <alignment horizontal="center" vertical="center" wrapText="1"/>
    </xf>
    <xf numFmtId="0" fontId="85" fillId="0" borderId="113" xfId="0" applyFont="1" applyBorder="1" applyAlignment="1">
      <alignment horizontal="center" vertical="center" wrapText="1"/>
    </xf>
    <xf numFmtId="0" fontId="85" fillId="0" borderId="114" xfId="0" applyFont="1" applyBorder="1" applyAlignment="1">
      <alignment horizontal="center" vertical="center"/>
    </xf>
    <xf numFmtId="0" fontId="85" fillId="0" borderId="115" xfId="0" applyFont="1" applyBorder="1" applyAlignment="1">
      <alignment horizontal="center" vertical="center" wrapText="1"/>
    </xf>
    <xf numFmtId="0" fontId="85" fillId="0" borderId="116" xfId="0" applyFont="1" applyBorder="1" applyAlignment="1">
      <alignment horizontal="center" vertical="center" wrapText="1"/>
    </xf>
    <xf numFmtId="0" fontId="85" fillId="0" borderId="117" xfId="0" applyFont="1" applyBorder="1" applyAlignment="1">
      <alignment horizontal="center" vertical="center"/>
    </xf>
    <xf numFmtId="0" fontId="85" fillId="0" borderId="13" xfId="0" applyFont="1" applyBorder="1" applyAlignment="1">
      <alignment horizontal="center" vertical="center" wrapText="1"/>
    </xf>
    <xf numFmtId="0" fontId="85" fillId="0" borderId="118" xfId="0" applyFont="1" applyBorder="1" applyAlignment="1">
      <alignment horizontal="center" vertical="center" wrapText="1"/>
    </xf>
    <xf numFmtId="0" fontId="85" fillId="0" borderId="13" xfId="0" applyFont="1" applyBorder="1" applyAlignment="1">
      <alignment horizontal="center" vertical="center"/>
    </xf>
    <xf numFmtId="0" fontId="85" fillId="0" borderId="119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5" fillId="0" borderId="121" xfId="0" applyFont="1" applyBorder="1" applyAlignment="1">
      <alignment horizontal="center" vertical="center" wrapText="1"/>
    </xf>
    <xf numFmtId="0" fontId="85" fillId="0" borderId="122" xfId="0" applyFont="1" applyBorder="1" applyAlignment="1">
      <alignment horizontal="center" vertical="center" wrapText="1"/>
    </xf>
    <xf numFmtId="0" fontId="85" fillId="0" borderId="33" xfId="0" applyFont="1" applyBorder="1" applyAlignment="1">
      <alignment horizontal="center" vertical="center"/>
    </xf>
    <xf numFmtId="0" fontId="85" fillId="0" borderId="24" xfId="0" applyFont="1" applyBorder="1" applyAlignment="1">
      <alignment horizontal="center" vertical="center" wrapText="1"/>
    </xf>
    <xf numFmtId="0" fontId="85" fillId="0" borderId="39" xfId="0" applyFont="1" applyBorder="1" applyAlignment="1">
      <alignment horizontal="center" vertical="center" wrapText="1"/>
    </xf>
    <xf numFmtId="0" fontId="85" fillId="0" borderId="12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85" fillId="0" borderId="33" xfId="0" applyFont="1" applyBorder="1" applyAlignment="1">
      <alignment horizontal="center" vertical="center" wrapText="1"/>
    </xf>
    <xf numFmtId="0" fontId="3" fillId="0" borderId="32" xfId="0" applyFont="1" applyBorder="1" applyAlignment="1">
      <alignment vertical="center" wrapText="1"/>
    </xf>
    <xf numFmtId="0" fontId="85" fillId="0" borderId="114" xfId="0" applyFont="1" applyBorder="1" applyAlignment="1">
      <alignment horizontal="center" vertical="center" wrapText="1"/>
    </xf>
    <xf numFmtId="0" fontId="85" fillId="0" borderId="124" xfId="0" applyFont="1" applyBorder="1" applyAlignment="1">
      <alignment horizontal="center" vertical="center" wrapText="1"/>
    </xf>
    <xf numFmtId="0" fontId="85" fillId="5" borderId="116" xfId="0" applyFont="1" applyFill="1" applyBorder="1" applyAlignment="1">
      <alignment horizontal="center" vertical="center" wrapText="1"/>
    </xf>
    <xf numFmtId="0" fontId="88" fillId="4" borderId="116" xfId="0" applyFont="1" applyFill="1" applyBorder="1" applyAlignment="1">
      <alignment horizontal="center" vertical="center" wrapText="1"/>
    </xf>
    <xf numFmtId="0" fontId="91" fillId="0" borderId="111" xfId="0" applyFont="1" applyBorder="1" applyAlignment="1">
      <alignment horizontal="center" vertical="center" wrapText="1"/>
    </xf>
    <xf numFmtId="0" fontId="91" fillId="0" borderId="112" xfId="0" applyFont="1" applyBorder="1" applyAlignment="1">
      <alignment horizontal="center" vertical="center" wrapText="1"/>
    </xf>
    <xf numFmtId="0" fontId="91" fillId="0" borderId="2" xfId="0" applyFont="1" applyBorder="1" applyAlignment="1">
      <alignment horizontal="center" vertical="center"/>
    </xf>
    <xf numFmtId="0" fontId="91" fillId="0" borderId="113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 wrapText="1"/>
    </xf>
    <xf numFmtId="0" fontId="85" fillId="0" borderId="122" xfId="0" applyFont="1" applyBorder="1" applyAlignment="1">
      <alignment horizontal="left" vertical="center" wrapText="1"/>
    </xf>
    <xf numFmtId="0" fontId="51" fillId="2" borderId="89" xfId="4" quotePrefix="1" applyFont="1" applyFill="1" applyBorder="1" applyAlignment="1">
      <alignment vertical="center" shrinkToFit="1"/>
    </xf>
    <xf numFmtId="0" fontId="95" fillId="0" borderId="57" xfId="0" applyFont="1" applyBorder="1" applyAlignment="1">
      <alignment horizontal="center" vertical="center" wrapText="1"/>
    </xf>
    <xf numFmtId="0" fontId="95" fillId="0" borderId="57" xfId="0" applyFont="1" applyBorder="1" applyAlignment="1">
      <alignment horizontal="left" vertical="center" wrapText="1"/>
    </xf>
    <xf numFmtId="0" fontId="95" fillId="0" borderId="57" xfId="0" applyFont="1" applyFill="1" applyBorder="1" applyAlignment="1">
      <alignment horizontal="center" vertical="center"/>
    </xf>
    <xf numFmtId="0" fontId="45" fillId="6" borderId="0" xfId="4" applyFont="1" applyFill="1" applyAlignment="1">
      <alignment horizontal="center" vertical="center"/>
    </xf>
    <xf numFmtId="0" fontId="54" fillId="0" borderId="14" xfId="4" applyFont="1" applyFill="1" applyBorder="1" applyAlignment="1">
      <alignment horizontal="center" vertical="center" readingOrder="1"/>
    </xf>
    <xf numFmtId="0" fontId="43" fillId="0" borderId="61" xfId="4" applyFont="1" applyFill="1" applyBorder="1" applyAlignment="1">
      <alignment horizontal="center" vertical="center" shrinkToFit="1"/>
    </xf>
    <xf numFmtId="0" fontId="51" fillId="0" borderId="58" xfId="4" applyFont="1" applyFill="1" applyBorder="1" applyAlignment="1">
      <alignment horizontal="center" vertical="center" shrinkToFit="1"/>
    </xf>
    <xf numFmtId="0" fontId="51" fillId="2" borderId="37" xfId="4" applyFont="1" applyFill="1" applyBorder="1" applyAlignment="1">
      <alignment vertical="center" shrinkToFit="1"/>
    </xf>
    <xf numFmtId="0" fontId="51" fillId="2" borderId="64" xfId="4" applyFont="1" applyFill="1" applyBorder="1" applyAlignment="1">
      <alignment vertical="center" shrinkToFit="1"/>
    </xf>
    <xf numFmtId="0" fontId="54" fillId="2" borderId="69" xfId="4" applyFont="1" applyFill="1" applyBorder="1" applyAlignment="1">
      <alignment vertical="center" readingOrder="1"/>
    </xf>
    <xf numFmtId="0" fontId="54" fillId="2" borderId="14" xfId="4" applyFont="1" applyFill="1" applyBorder="1" applyAlignment="1">
      <alignment vertical="center" wrapText="1" readingOrder="1"/>
    </xf>
    <xf numFmtId="0" fontId="54" fillId="2" borderId="60" xfId="4" applyFont="1" applyFill="1" applyBorder="1" applyAlignment="1">
      <alignment vertical="center" readingOrder="1"/>
    </xf>
    <xf numFmtId="0" fontId="96" fillId="6" borderId="2" xfId="4" applyNumberFormat="1" applyFont="1" applyFill="1" applyBorder="1" applyAlignment="1">
      <alignment vertical="center" wrapText="1"/>
    </xf>
    <xf numFmtId="0" fontId="96" fillId="6" borderId="58" xfId="4" quotePrefix="1" applyFont="1" applyFill="1" applyBorder="1" applyAlignment="1">
      <alignment vertical="center" shrinkToFit="1"/>
    </xf>
    <xf numFmtId="0" fontId="51" fillId="6" borderId="90" xfId="4" quotePrefix="1" applyFont="1" applyFill="1" applyBorder="1" applyAlignment="1">
      <alignment vertical="center" shrinkToFit="1"/>
    </xf>
    <xf numFmtId="0" fontId="51" fillId="6" borderId="89" xfId="4" applyFont="1" applyFill="1" applyBorder="1" applyAlignment="1">
      <alignment vertical="center" shrinkToFit="1"/>
    </xf>
    <xf numFmtId="0" fontId="51" fillId="6" borderId="14" xfId="4" applyNumberFormat="1" applyFont="1" applyFill="1" applyBorder="1" applyAlignment="1">
      <alignment horizontal="left" vertical="center" shrinkToFit="1"/>
    </xf>
    <xf numFmtId="0" fontId="96" fillId="6" borderId="91" xfId="4" quotePrefix="1" applyFont="1" applyFill="1" applyBorder="1" applyAlignment="1">
      <alignment vertical="center" shrinkToFit="1"/>
    </xf>
    <xf numFmtId="0" fontId="51" fillId="6" borderId="90" xfId="4" applyFont="1" applyFill="1" applyBorder="1" applyAlignment="1">
      <alignment vertical="center" shrinkToFit="1"/>
    </xf>
    <xf numFmtId="0" fontId="96" fillId="6" borderId="19" xfId="4" applyNumberFormat="1" applyFont="1" applyFill="1" applyBorder="1" applyAlignment="1">
      <alignment horizontal="left" vertical="center" shrinkToFit="1"/>
    </xf>
    <xf numFmtId="0" fontId="96" fillId="6" borderId="92" xfId="4" quotePrefix="1" applyFont="1" applyFill="1" applyBorder="1" applyAlignment="1">
      <alignment vertical="center" shrinkToFit="1"/>
    </xf>
    <xf numFmtId="0" fontId="13" fillId="0" borderId="0" xfId="2" quotePrefix="1" applyFont="1" applyFill="1" applyBorder="1" applyAlignment="1">
      <alignment horizontal="center" vertical="center" wrapText="1" shrinkToFit="1"/>
    </xf>
    <xf numFmtId="0" fontId="13" fillId="0" borderId="42" xfId="2" quotePrefix="1" applyFont="1" applyFill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53" fillId="6" borderId="13" xfId="0" applyFont="1" applyFill="1" applyBorder="1" applyAlignment="1">
      <alignment horizontal="center" vertical="center" wrapText="1" readingOrder="1"/>
    </xf>
    <xf numFmtId="0" fontId="53" fillId="6" borderId="14" xfId="0" applyFont="1" applyFill="1" applyBorder="1" applyAlignment="1">
      <alignment horizontal="center" vertical="center" wrapText="1" readingOrder="1"/>
    </xf>
    <xf numFmtId="0" fontId="53" fillId="6" borderId="19" xfId="0" applyFont="1" applyFill="1" applyBorder="1" applyAlignment="1">
      <alignment horizontal="center" vertical="center" wrapText="1" readingOrder="1"/>
    </xf>
    <xf numFmtId="0" fontId="51" fillId="6" borderId="13" xfId="0" applyFont="1" applyFill="1" applyBorder="1" applyAlignment="1">
      <alignment horizontal="center" vertical="center" wrapText="1" shrinkToFit="1"/>
    </xf>
    <xf numFmtId="0" fontId="51" fillId="6" borderId="14" xfId="0" applyFont="1" applyFill="1" applyBorder="1" applyAlignment="1">
      <alignment horizontal="center" vertical="center" wrapText="1" shrinkToFit="1"/>
    </xf>
    <xf numFmtId="0" fontId="51" fillId="6" borderId="19" xfId="0" applyFont="1" applyFill="1" applyBorder="1" applyAlignment="1">
      <alignment horizontal="center" vertical="center" wrapText="1" shrinkToFit="1"/>
    </xf>
    <xf numFmtId="14" fontId="2" fillId="0" borderId="73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51" fillId="6" borderId="73" xfId="0" applyFont="1" applyFill="1" applyBorder="1" applyAlignment="1">
      <alignment horizontal="center" vertical="center" wrapText="1" shrinkToFit="1"/>
    </xf>
    <xf numFmtId="0" fontId="51" fillId="6" borderId="2" xfId="0" applyFont="1" applyFill="1" applyBorder="1" applyAlignment="1">
      <alignment horizontal="center" vertical="center" wrapText="1" shrinkToFit="1"/>
    </xf>
    <xf numFmtId="0" fontId="51" fillId="6" borderId="14" xfId="0" applyFont="1" applyFill="1" applyBorder="1" applyAlignment="1">
      <alignment horizontal="center" vertical="center" shrinkToFit="1"/>
    </xf>
    <xf numFmtId="0" fontId="51" fillId="6" borderId="2" xfId="0" applyFont="1" applyFill="1" applyBorder="1" applyAlignment="1">
      <alignment horizontal="center" vertical="center" shrinkToFit="1"/>
    </xf>
    <xf numFmtId="0" fontId="51" fillId="6" borderId="37" xfId="0" applyFont="1" applyFill="1" applyBorder="1" applyAlignment="1">
      <alignment horizontal="center" vertical="center" shrinkToFit="1"/>
    </xf>
    <xf numFmtId="0" fontId="51" fillId="6" borderId="64" xfId="0" applyFont="1" applyFill="1" applyBorder="1" applyAlignment="1">
      <alignment horizontal="center" vertical="center" shrinkToFit="1"/>
    </xf>
    <xf numFmtId="0" fontId="54" fillId="6" borderId="69" xfId="0" applyFont="1" applyFill="1" applyBorder="1" applyAlignment="1">
      <alignment horizontal="center" vertical="center" readingOrder="1"/>
    </xf>
    <xf numFmtId="0" fontId="54" fillId="6" borderId="14" xfId="0" applyFont="1" applyFill="1" applyBorder="1" applyAlignment="1">
      <alignment horizontal="center" vertical="center" readingOrder="1"/>
    </xf>
    <xf numFmtId="0" fontId="51" fillId="6" borderId="61" xfId="0" applyFont="1" applyFill="1" applyBorder="1" applyAlignment="1">
      <alignment horizontal="center" vertical="center" shrinkToFit="1"/>
    </xf>
    <xf numFmtId="0" fontId="54" fillId="6" borderId="69" xfId="0" applyFont="1" applyFill="1" applyBorder="1" applyAlignment="1">
      <alignment horizontal="center" vertical="center" wrapText="1" readingOrder="1"/>
    </xf>
    <xf numFmtId="0" fontId="54" fillId="6" borderId="14" xfId="0" applyFont="1" applyFill="1" applyBorder="1" applyAlignment="1">
      <alignment horizontal="center" vertical="center" wrapText="1" readingOrder="1"/>
    </xf>
    <xf numFmtId="0" fontId="54" fillId="6" borderId="2" xfId="0" applyFont="1" applyFill="1" applyBorder="1" applyAlignment="1">
      <alignment horizontal="center" vertical="center" wrapText="1" readingOrder="1"/>
    </xf>
    <xf numFmtId="0" fontId="51" fillId="6" borderId="58" xfId="0" applyFont="1" applyFill="1" applyBorder="1" applyAlignment="1">
      <alignment horizontal="center" vertical="center" shrinkToFit="1"/>
    </xf>
    <xf numFmtId="0" fontId="51" fillId="6" borderId="52" xfId="0" applyFont="1" applyFill="1" applyBorder="1" applyAlignment="1">
      <alignment horizontal="center" vertical="center" shrinkToFit="1"/>
    </xf>
    <xf numFmtId="0" fontId="54" fillId="6" borderId="60" xfId="0" applyFont="1" applyFill="1" applyBorder="1" applyAlignment="1">
      <alignment horizontal="center" vertical="center" wrapText="1" readingOrder="1"/>
    </xf>
    <xf numFmtId="0" fontId="51" fillId="6" borderId="37" xfId="0" applyFont="1" applyFill="1" applyBorder="1" applyAlignment="1">
      <alignment horizontal="center" vertical="center" wrapText="1" shrinkToFit="1"/>
    </xf>
    <xf numFmtId="0" fontId="51" fillId="6" borderId="64" xfId="0" applyFont="1" applyFill="1" applyBorder="1" applyAlignment="1">
      <alignment horizontal="center" vertical="center" wrapText="1" shrinkToFit="1"/>
    </xf>
    <xf numFmtId="0" fontId="56" fillId="6" borderId="14" xfId="0" applyFont="1" applyFill="1" applyBorder="1" applyAlignment="1">
      <alignment horizontal="center" vertical="center" readingOrder="1"/>
    </xf>
    <xf numFmtId="0" fontId="56" fillId="6" borderId="60" xfId="0" applyFont="1" applyFill="1" applyBorder="1" applyAlignment="1">
      <alignment horizontal="center" vertical="center" readingOrder="1"/>
    </xf>
    <xf numFmtId="0" fontId="56" fillId="6" borderId="69" xfId="0" applyFont="1" applyFill="1" applyBorder="1" applyAlignment="1">
      <alignment horizontal="center" vertical="center" readingOrder="1"/>
    </xf>
    <xf numFmtId="0" fontId="54" fillId="6" borderId="13" xfId="0" applyFont="1" applyFill="1" applyBorder="1" applyAlignment="1">
      <alignment horizontal="center" vertical="center" wrapText="1" readingOrder="1"/>
    </xf>
    <xf numFmtId="0" fontId="56" fillId="6" borderId="69" xfId="0" applyFont="1" applyFill="1" applyBorder="1" applyAlignment="1">
      <alignment horizontal="center" vertical="center" wrapText="1" readingOrder="1"/>
    </xf>
    <xf numFmtId="0" fontId="56" fillId="6" borderId="60" xfId="0" applyFont="1" applyFill="1" applyBorder="1" applyAlignment="1">
      <alignment horizontal="center" vertical="center" wrapText="1" readingOrder="1"/>
    </xf>
    <xf numFmtId="0" fontId="53" fillId="6" borderId="68" xfId="0" applyFont="1" applyFill="1" applyBorder="1" applyAlignment="1">
      <alignment horizontal="center" vertical="center" wrapText="1" readingOrder="1"/>
    </xf>
    <xf numFmtId="0" fontId="53" fillId="6" borderId="2" xfId="0" applyFont="1" applyFill="1" applyBorder="1" applyAlignment="1">
      <alignment horizontal="center" vertical="center" wrapText="1" readingOrder="1"/>
    </xf>
    <xf numFmtId="0" fontId="51" fillId="6" borderId="68" xfId="0" applyFont="1" applyFill="1" applyBorder="1" applyAlignment="1">
      <alignment horizontal="center" vertical="center" wrapText="1" shrinkToFit="1"/>
    </xf>
    <xf numFmtId="0" fontId="56" fillId="6" borderId="14" xfId="0" applyFont="1" applyFill="1" applyBorder="1" applyAlignment="1">
      <alignment horizontal="center" vertical="center" wrapText="1" readingOrder="1"/>
    </xf>
    <xf numFmtId="0" fontId="45" fillId="6" borderId="0" xfId="0" applyFont="1" applyFill="1" applyAlignment="1">
      <alignment horizontal="center" vertical="center"/>
    </xf>
    <xf numFmtId="0" fontId="51" fillId="2" borderId="67" xfId="0" applyFont="1" applyFill="1" applyBorder="1" applyAlignment="1">
      <alignment horizontal="center" vertical="center" shrinkToFit="1"/>
    </xf>
    <xf numFmtId="0" fontId="51" fillId="2" borderId="54" xfId="0" applyFont="1" applyFill="1" applyBorder="1" applyAlignment="1">
      <alignment horizontal="center" vertical="center" shrinkToFit="1"/>
    </xf>
    <xf numFmtId="0" fontId="50" fillId="6" borderId="69" xfId="0" applyFont="1" applyFill="1" applyBorder="1" applyAlignment="1">
      <alignment horizontal="center" vertical="center" readingOrder="1"/>
    </xf>
    <xf numFmtId="0" fontId="50" fillId="6" borderId="14" xfId="0" applyFont="1" applyFill="1" applyBorder="1" applyAlignment="1">
      <alignment horizontal="center" vertical="center" readingOrder="1"/>
    </xf>
    <xf numFmtId="0" fontId="50" fillId="6" borderId="60" xfId="0" applyFont="1" applyFill="1" applyBorder="1" applyAlignment="1">
      <alignment horizontal="center" vertical="center" readingOrder="1"/>
    </xf>
    <xf numFmtId="0" fontId="54" fillId="6" borderId="60" xfId="0" applyFont="1" applyFill="1" applyBorder="1" applyAlignment="1">
      <alignment horizontal="center" vertical="center" readingOrder="1"/>
    </xf>
    <xf numFmtId="0" fontId="43" fillId="6" borderId="37" xfId="0" applyFont="1" applyFill="1" applyBorder="1" applyAlignment="1">
      <alignment horizontal="center" vertical="center" shrinkToFit="1"/>
    </xf>
    <xf numFmtId="0" fontId="43" fillId="6" borderId="61" xfId="0" applyFont="1" applyFill="1" applyBorder="1" applyAlignment="1">
      <alignment horizontal="center" vertical="center" shrinkToFit="1"/>
    </xf>
    <xf numFmtId="0" fontId="43" fillId="6" borderId="64" xfId="0" applyFont="1" applyFill="1" applyBorder="1" applyAlignment="1">
      <alignment horizontal="center" vertical="center" shrinkToFit="1"/>
    </xf>
    <xf numFmtId="0" fontId="43" fillId="6" borderId="58" xfId="0" applyFont="1" applyFill="1" applyBorder="1" applyAlignment="1">
      <alignment horizontal="center" vertical="center" shrinkToFit="1"/>
    </xf>
    <xf numFmtId="0" fontId="51" fillId="6" borderId="13" xfId="0" applyFont="1" applyFill="1" applyBorder="1" applyAlignment="1">
      <alignment horizontal="center" vertical="center" shrinkToFit="1"/>
    </xf>
    <xf numFmtId="14" fontId="2" fillId="0" borderId="13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70" xfId="0" applyNumberFormat="1" applyFont="1" applyBorder="1" applyAlignment="1">
      <alignment horizontal="center" vertical="center" wrapText="1"/>
    </xf>
    <xf numFmtId="14" fontId="2" fillId="0" borderId="63" xfId="0" applyNumberFormat="1" applyFont="1" applyBorder="1" applyAlignment="1">
      <alignment horizontal="center" vertical="center"/>
    </xf>
    <xf numFmtId="0" fontId="51" fillId="6" borderId="19" xfId="0" applyFont="1" applyFill="1" applyBorder="1" applyAlignment="1">
      <alignment horizontal="center" vertical="center" shrinkToFit="1"/>
    </xf>
    <xf numFmtId="14" fontId="2" fillId="0" borderId="19" xfId="0" applyNumberFormat="1" applyFont="1" applyBorder="1" applyAlignment="1">
      <alignment horizontal="center" vertical="center"/>
    </xf>
    <xf numFmtId="0" fontId="51" fillId="6" borderId="20" xfId="0" applyFont="1" applyFill="1" applyBorder="1" applyAlignment="1">
      <alignment horizontal="center" vertical="center" shrinkToFit="1"/>
    </xf>
    <xf numFmtId="0" fontId="45" fillId="6" borderId="0" xfId="4" applyFont="1" applyFill="1" applyAlignment="1">
      <alignment horizontal="center" vertical="center"/>
    </xf>
    <xf numFmtId="0" fontId="51" fillId="2" borderId="87" xfId="4" applyFont="1" applyFill="1" applyBorder="1" applyAlignment="1">
      <alignment horizontal="center" vertical="center" shrinkToFit="1"/>
    </xf>
    <xf numFmtId="0" fontId="51" fillId="2" borderId="88" xfId="4" applyFont="1" applyFill="1" applyBorder="1" applyAlignment="1">
      <alignment horizontal="center" vertical="center" shrinkToFit="1"/>
    </xf>
    <xf numFmtId="0" fontId="50" fillId="6" borderId="69" xfId="4" applyFont="1" applyFill="1" applyBorder="1" applyAlignment="1">
      <alignment horizontal="center" vertical="center" readingOrder="1"/>
    </xf>
    <xf numFmtId="0" fontId="50" fillId="6" borderId="14" xfId="4" applyFont="1" applyFill="1" applyBorder="1" applyAlignment="1">
      <alignment horizontal="center" vertical="center" readingOrder="1"/>
    </xf>
    <xf numFmtId="0" fontId="50" fillId="6" borderId="60" xfId="4" applyFont="1" applyFill="1" applyBorder="1" applyAlignment="1">
      <alignment horizontal="center" vertical="center" readingOrder="1"/>
    </xf>
    <xf numFmtId="0" fontId="43" fillId="5" borderId="37" xfId="4" applyFont="1" applyFill="1" applyBorder="1" applyAlignment="1">
      <alignment horizontal="center" vertical="center" shrinkToFit="1"/>
    </xf>
    <xf numFmtId="0" fontId="43" fillId="5" borderId="61" xfId="4" applyFont="1" applyFill="1" applyBorder="1" applyAlignment="1">
      <alignment horizontal="center" vertical="center" shrinkToFit="1"/>
    </xf>
    <xf numFmtId="0" fontId="43" fillId="5" borderId="64" xfId="4" applyFont="1" applyFill="1" applyBorder="1" applyAlignment="1">
      <alignment horizontal="center" vertical="center" shrinkToFit="1"/>
    </xf>
    <xf numFmtId="0" fontId="54" fillId="6" borderId="14" xfId="4" applyFont="1" applyFill="1" applyBorder="1" applyAlignment="1">
      <alignment horizontal="center" vertical="center" readingOrder="1"/>
    </xf>
    <xf numFmtId="0" fontId="54" fillId="6" borderId="60" xfId="4" applyFont="1" applyFill="1" applyBorder="1" applyAlignment="1">
      <alignment horizontal="center" vertical="center" readingOrder="1"/>
    </xf>
    <xf numFmtId="0" fontId="43" fillId="5" borderId="37" xfId="4" applyFont="1" applyFill="1" applyBorder="1" applyAlignment="1">
      <alignment horizontal="center" vertical="center" wrapText="1" shrinkToFit="1"/>
    </xf>
    <xf numFmtId="0" fontId="53" fillId="6" borderId="68" xfId="4" applyFont="1" applyFill="1" applyBorder="1" applyAlignment="1">
      <alignment horizontal="center" vertical="center" wrapText="1" readingOrder="1"/>
    </xf>
    <xf numFmtId="0" fontId="53" fillId="6" borderId="14" xfId="4" applyFont="1" applyFill="1" applyBorder="1" applyAlignment="1">
      <alignment horizontal="center" vertical="center" wrapText="1" readingOrder="1"/>
    </xf>
    <xf numFmtId="0" fontId="53" fillId="6" borderId="2" xfId="4" applyFont="1" applyFill="1" applyBorder="1" applyAlignment="1">
      <alignment horizontal="center" vertical="center" wrapText="1" readingOrder="1"/>
    </xf>
    <xf numFmtId="0" fontId="51" fillId="6" borderId="68" xfId="4" applyFont="1" applyFill="1" applyBorder="1" applyAlignment="1">
      <alignment horizontal="center" vertical="center" wrapText="1" shrinkToFit="1"/>
    </xf>
    <xf numFmtId="0" fontId="51" fillId="6" borderId="14" xfId="4" applyFont="1" applyFill="1" applyBorder="1" applyAlignment="1">
      <alignment horizontal="center" vertical="center" wrapText="1" shrinkToFit="1"/>
    </xf>
    <xf numFmtId="0" fontId="51" fillId="6" borderId="2" xfId="4" applyFont="1" applyFill="1" applyBorder="1" applyAlignment="1">
      <alignment horizontal="center" vertical="center" wrapText="1" shrinkToFit="1"/>
    </xf>
    <xf numFmtId="0" fontId="54" fillId="6" borderId="69" xfId="4" applyFont="1" applyFill="1" applyBorder="1" applyAlignment="1">
      <alignment horizontal="center" vertical="center" wrapText="1" readingOrder="1"/>
    </xf>
    <xf numFmtId="0" fontId="54" fillId="6" borderId="14" xfId="4" applyFont="1" applyFill="1" applyBorder="1" applyAlignment="1">
      <alignment horizontal="center" vertical="center" wrapText="1" readingOrder="1"/>
    </xf>
    <xf numFmtId="0" fontId="54" fillId="6" borderId="60" xfId="4" applyFont="1" applyFill="1" applyBorder="1" applyAlignment="1">
      <alignment horizontal="center" vertical="center" wrapText="1" readingOrder="1"/>
    </xf>
    <xf numFmtId="0" fontId="51" fillId="6" borderId="37" xfId="4" applyFont="1" applyFill="1" applyBorder="1" applyAlignment="1">
      <alignment horizontal="center" vertical="center" wrapText="1" shrinkToFit="1"/>
    </xf>
    <xf numFmtId="0" fontId="51" fillId="6" borderId="61" xfId="4" applyFont="1" applyFill="1" applyBorder="1" applyAlignment="1">
      <alignment horizontal="center" vertical="center" shrinkToFit="1"/>
    </xf>
    <xf numFmtId="0" fontId="51" fillId="6" borderId="64" xfId="4" applyFont="1" applyFill="1" applyBorder="1" applyAlignment="1">
      <alignment horizontal="center" vertical="center" shrinkToFit="1"/>
    </xf>
    <xf numFmtId="0" fontId="54" fillId="5" borderId="14" xfId="4" applyFont="1" applyFill="1" applyBorder="1" applyAlignment="1">
      <alignment horizontal="center" vertical="center" wrapText="1" readingOrder="1"/>
    </xf>
    <xf numFmtId="0" fontId="54" fillId="5" borderId="60" xfId="4" applyFont="1" applyFill="1" applyBorder="1" applyAlignment="1">
      <alignment horizontal="center" vertical="center" wrapText="1" readingOrder="1"/>
    </xf>
    <xf numFmtId="0" fontId="43" fillId="5" borderId="61" xfId="4" applyFont="1" applyFill="1" applyBorder="1" applyAlignment="1">
      <alignment horizontal="center" vertical="center" wrapText="1" shrinkToFit="1"/>
    </xf>
    <xf numFmtId="0" fontId="43" fillId="5" borderId="64" xfId="4" applyFont="1" applyFill="1" applyBorder="1" applyAlignment="1">
      <alignment horizontal="center" vertical="center" wrapText="1" shrinkToFit="1"/>
    </xf>
    <xf numFmtId="0" fontId="54" fillId="5" borderId="69" xfId="4" applyFont="1" applyFill="1" applyBorder="1" applyAlignment="1">
      <alignment horizontal="center" vertical="center" readingOrder="1"/>
    </xf>
    <xf numFmtId="0" fontId="54" fillId="5" borderId="14" xfId="4" applyFont="1" applyFill="1" applyBorder="1" applyAlignment="1">
      <alignment horizontal="center" vertical="center" readingOrder="1"/>
    </xf>
    <xf numFmtId="0" fontId="54" fillId="5" borderId="60" xfId="4" applyFont="1" applyFill="1" applyBorder="1" applyAlignment="1">
      <alignment horizontal="center" vertical="center" readingOrder="1"/>
    </xf>
    <xf numFmtId="0" fontId="43" fillId="0" borderId="37" xfId="4" applyFont="1" applyFill="1" applyBorder="1" applyAlignment="1">
      <alignment horizontal="center" vertical="center" wrapText="1" shrinkToFit="1"/>
    </xf>
    <xf numFmtId="0" fontId="43" fillId="0" borderId="64" xfId="4" applyFont="1" applyFill="1" applyBorder="1" applyAlignment="1">
      <alignment horizontal="center" vertical="center" shrinkToFit="1"/>
    </xf>
    <xf numFmtId="0" fontId="56" fillId="5" borderId="13" xfId="4" applyFont="1" applyFill="1" applyBorder="1" applyAlignment="1">
      <alignment horizontal="center" vertical="center" wrapText="1" readingOrder="1"/>
    </xf>
    <xf numFmtId="0" fontId="56" fillId="5" borderId="14" xfId="4" applyFont="1" applyFill="1" applyBorder="1" applyAlignment="1">
      <alignment horizontal="center" vertical="center" wrapText="1" readingOrder="1"/>
    </xf>
    <xf numFmtId="0" fontId="56" fillId="5" borderId="2" xfId="4" applyFont="1" applyFill="1" applyBorder="1" applyAlignment="1">
      <alignment horizontal="center" vertical="center" wrapText="1" readingOrder="1"/>
    </xf>
    <xf numFmtId="0" fontId="51" fillId="6" borderId="13" xfId="4" applyFont="1" applyFill="1" applyBorder="1" applyAlignment="1">
      <alignment horizontal="center" vertical="center" wrapText="1" shrinkToFit="1"/>
    </xf>
    <xf numFmtId="0" fontId="51" fillId="6" borderId="52" xfId="4" applyFont="1" applyFill="1" applyBorder="1" applyAlignment="1">
      <alignment horizontal="center" vertical="center" shrinkToFit="1"/>
    </xf>
    <xf numFmtId="0" fontId="51" fillId="6" borderId="58" xfId="4" applyFont="1" applyFill="1" applyBorder="1" applyAlignment="1">
      <alignment horizontal="center" vertical="center" shrinkToFit="1"/>
    </xf>
    <xf numFmtId="0" fontId="54" fillId="0" borderId="69" xfId="4" applyFont="1" applyFill="1" applyBorder="1" applyAlignment="1">
      <alignment horizontal="center" vertical="center" readingOrder="1"/>
    </xf>
    <xf numFmtId="0" fontId="54" fillId="0" borderId="14" xfId="4" applyFont="1" applyFill="1" applyBorder="1" applyAlignment="1">
      <alignment horizontal="center" vertical="center" readingOrder="1"/>
    </xf>
    <xf numFmtId="0" fontId="43" fillId="0" borderId="37" xfId="4" applyFont="1" applyFill="1" applyBorder="1" applyAlignment="1">
      <alignment horizontal="center" vertical="center" shrinkToFit="1"/>
    </xf>
    <xf numFmtId="0" fontId="43" fillId="0" borderId="61" xfId="4" applyFont="1" applyFill="1" applyBorder="1" applyAlignment="1">
      <alignment horizontal="center" vertical="center" shrinkToFit="1"/>
    </xf>
    <xf numFmtId="0" fontId="54" fillId="6" borderId="2" xfId="4" applyFont="1" applyFill="1" applyBorder="1" applyAlignment="1">
      <alignment horizontal="center" vertical="center" wrapText="1" readingOrder="1"/>
    </xf>
    <xf numFmtId="0" fontId="51" fillId="0" borderId="37" xfId="4" applyFont="1" applyFill="1" applyBorder="1" applyAlignment="1">
      <alignment horizontal="center" vertical="center" wrapText="1" shrinkToFit="1"/>
    </xf>
    <xf numFmtId="0" fontId="51" fillId="0" borderId="61" xfId="4" applyFont="1" applyFill="1" applyBorder="1" applyAlignment="1">
      <alignment horizontal="center" vertical="center" shrinkToFit="1"/>
    </xf>
    <xf numFmtId="0" fontId="51" fillId="0" borderId="58" xfId="4" applyFont="1" applyFill="1" applyBorder="1" applyAlignment="1">
      <alignment horizontal="center" vertical="center" shrinkToFit="1"/>
    </xf>
    <xf numFmtId="0" fontId="53" fillId="6" borderId="13" xfId="4" applyFont="1" applyFill="1" applyBorder="1" applyAlignment="1">
      <alignment horizontal="center" vertical="center" wrapText="1" readingOrder="1"/>
    </xf>
    <xf numFmtId="0" fontId="53" fillId="6" borderId="19" xfId="4" applyFont="1" applyFill="1" applyBorder="1" applyAlignment="1">
      <alignment horizontal="center" vertical="center" wrapText="1" readingOrder="1"/>
    </xf>
    <xf numFmtId="0" fontId="51" fillId="6" borderId="19" xfId="4" applyFont="1" applyFill="1" applyBorder="1" applyAlignment="1">
      <alignment horizontal="center" vertical="center" wrapText="1" shrinkToFit="1"/>
    </xf>
    <xf numFmtId="0" fontId="54" fillId="0" borderId="13" xfId="4" applyFont="1" applyFill="1" applyBorder="1" applyAlignment="1">
      <alignment horizontal="center" vertical="center" wrapText="1" readingOrder="1"/>
    </xf>
    <xf numFmtId="0" fontId="54" fillId="0" borderId="14" xfId="4" applyFont="1" applyFill="1" applyBorder="1" applyAlignment="1">
      <alignment horizontal="center" vertical="center" wrapText="1" readingOrder="1"/>
    </xf>
    <xf numFmtId="0" fontId="54" fillId="0" borderId="2" xfId="4" applyFont="1" applyFill="1" applyBorder="1" applyAlignment="1">
      <alignment horizontal="center" vertical="center" wrapText="1" readingOrder="1"/>
    </xf>
    <xf numFmtId="0" fontId="54" fillId="6" borderId="13" xfId="4" applyFont="1" applyFill="1" applyBorder="1" applyAlignment="1">
      <alignment horizontal="center" vertical="center" wrapText="1" readingOrder="1"/>
    </xf>
    <xf numFmtId="0" fontId="51" fillId="0" borderId="52" xfId="4" applyFont="1" applyFill="1" applyBorder="1" applyAlignment="1">
      <alignment horizontal="center" vertical="center" wrapText="1" shrinkToFit="1"/>
    </xf>
    <xf numFmtId="0" fontId="51" fillId="0" borderId="64" xfId="4" applyFont="1" applyFill="1" applyBorder="1" applyAlignment="1">
      <alignment horizontal="center" vertical="center" shrinkToFit="1"/>
    </xf>
    <xf numFmtId="0" fontId="51" fillId="0" borderId="64" xfId="4" applyFont="1" applyFill="1" applyBorder="1" applyAlignment="1">
      <alignment horizontal="center" vertical="center" wrapText="1" shrinkToFit="1"/>
    </xf>
    <xf numFmtId="14" fontId="2" fillId="0" borderId="73" xfId="4" applyNumberFormat="1" applyFont="1" applyBorder="1" applyAlignment="1">
      <alignment horizontal="center" vertical="center" wrapText="1"/>
    </xf>
    <xf numFmtId="14" fontId="2" fillId="0" borderId="14" xfId="4" applyNumberFormat="1" applyFont="1" applyBorder="1" applyAlignment="1">
      <alignment horizontal="center" vertical="center" wrapText="1"/>
    </xf>
    <xf numFmtId="14" fontId="2" fillId="0" borderId="2" xfId="4" applyNumberFormat="1" applyFont="1" applyBorder="1" applyAlignment="1">
      <alignment horizontal="center" vertical="center" wrapText="1"/>
    </xf>
    <xf numFmtId="0" fontId="51" fillId="6" borderId="73" xfId="4" applyFont="1" applyFill="1" applyBorder="1" applyAlignment="1">
      <alignment horizontal="center" vertical="center" wrapText="1" shrinkToFit="1"/>
    </xf>
    <xf numFmtId="0" fontId="51" fillId="6" borderId="13" xfId="4" applyFont="1" applyFill="1" applyBorder="1" applyAlignment="1">
      <alignment horizontal="center" vertical="center" shrinkToFit="1"/>
    </xf>
    <xf numFmtId="0" fontId="51" fillId="6" borderId="14" xfId="4" applyFont="1" applyFill="1" applyBorder="1" applyAlignment="1">
      <alignment horizontal="center" vertical="center" shrinkToFit="1"/>
    </xf>
    <xf numFmtId="0" fontId="51" fillId="6" borderId="2" xfId="4" applyFont="1" applyFill="1" applyBorder="1" applyAlignment="1">
      <alignment horizontal="center" vertical="center" shrinkToFit="1"/>
    </xf>
    <xf numFmtId="14" fontId="2" fillId="0" borderId="13" xfId="4" applyNumberFormat="1" applyFont="1" applyBorder="1" applyAlignment="1">
      <alignment horizontal="center" vertical="center" wrapText="1"/>
    </xf>
    <xf numFmtId="0" fontId="70" fillId="6" borderId="72" xfId="4" applyFont="1" applyFill="1" applyBorder="1" applyAlignment="1">
      <alignment horizontal="center" vertical="center" wrapText="1" shrinkToFit="1"/>
    </xf>
    <xf numFmtId="0" fontId="70" fillId="6" borderId="71" xfId="4" applyFont="1" applyFill="1" applyBorder="1" applyAlignment="1">
      <alignment horizontal="center" vertical="center" wrapText="1" shrinkToFit="1"/>
    </xf>
    <xf numFmtId="0" fontId="72" fillId="6" borderId="89" xfId="4" quotePrefix="1" applyFont="1" applyFill="1" applyBorder="1" applyAlignment="1">
      <alignment horizontal="center" vertical="center" wrapText="1" shrinkToFit="1"/>
    </xf>
    <xf numFmtId="0" fontId="51" fillId="6" borderId="90" xfId="4" applyFont="1" applyFill="1" applyBorder="1" applyAlignment="1">
      <alignment horizontal="center" vertical="center" shrinkToFit="1"/>
    </xf>
    <xf numFmtId="0" fontId="51" fillId="6" borderId="89" xfId="4" applyFont="1" applyFill="1" applyBorder="1" applyAlignment="1">
      <alignment horizontal="center" vertical="center" shrinkToFit="1"/>
    </xf>
    <xf numFmtId="0" fontId="51" fillId="6" borderId="91" xfId="4" applyFont="1" applyFill="1" applyBorder="1" applyAlignment="1">
      <alignment horizontal="center" vertical="center" shrinkToFit="1"/>
    </xf>
    <xf numFmtId="0" fontId="51" fillId="6" borderId="19" xfId="4" applyFont="1" applyFill="1" applyBorder="1" applyAlignment="1">
      <alignment horizontal="center" vertical="center" shrinkToFit="1"/>
    </xf>
    <xf numFmtId="14" fontId="2" fillId="0" borderId="19" xfId="4" applyNumberFormat="1" applyFont="1" applyBorder="1" applyAlignment="1">
      <alignment horizontal="center" vertical="center" wrapText="1"/>
    </xf>
    <xf numFmtId="0" fontId="51" fillId="6" borderId="20" xfId="4" applyFont="1" applyFill="1" applyBorder="1" applyAlignment="1">
      <alignment horizontal="center" vertical="center" shrinkToFit="1"/>
    </xf>
    <xf numFmtId="0" fontId="51" fillId="6" borderId="92" xfId="4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5" fillId="0" borderId="6" xfId="0" applyFont="1" applyBorder="1" applyAlignment="1">
      <alignment horizontal="left" vertical="top" wrapText="1"/>
    </xf>
    <xf numFmtId="0" fontId="50" fillId="6" borderId="68" xfId="4" applyFont="1" applyFill="1" applyBorder="1" applyAlignment="1">
      <alignment horizontal="center" vertical="center" readingOrder="1"/>
    </xf>
    <xf numFmtId="0" fontId="51" fillId="6" borderId="72" xfId="4" applyFont="1" applyFill="1" applyBorder="1" applyAlignment="1">
      <alignment horizontal="center" vertical="center" wrapText="1" shrinkToFit="1"/>
    </xf>
    <xf numFmtId="0" fontId="51" fillId="6" borderId="71" xfId="4" applyFont="1" applyFill="1" applyBorder="1" applyAlignment="1">
      <alignment horizontal="center" vertical="center" wrapText="1" shrinkToFit="1"/>
    </xf>
    <xf numFmtId="0" fontId="50" fillId="6" borderId="13" xfId="4" applyFont="1" applyFill="1" applyBorder="1" applyAlignment="1">
      <alignment horizontal="center" vertical="center" wrapText="1" readingOrder="1"/>
    </xf>
    <xf numFmtId="0" fontId="50" fillId="6" borderId="60" xfId="4" applyFont="1" applyFill="1" applyBorder="1" applyAlignment="1">
      <alignment horizontal="center" vertical="center" wrapText="1" readingOrder="1"/>
    </xf>
    <xf numFmtId="0" fontId="51" fillId="6" borderId="52" xfId="4" applyFont="1" applyFill="1" applyBorder="1" applyAlignment="1">
      <alignment horizontal="center" vertical="center" wrapText="1" shrinkToFit="1"/>
    </xf>
    <xf numFmtId="0" fontId="51" fillId="6" borderId="64" xfId="4" applyFont="1" applyFill="1" applyBorder="1" applyAlignment="1">
      <alignment horizontal="center" vertical="center" wrapText="1" shrinkToFit="1"/>
    </xf>
    <xf numFmtId="0" fontId="54" fillId="6" borderId="69" xfId="4" applyFont="1" applyFill="1" applyBorder="1" applyAlignment="1">
      <alignment horizontal="center" vertical="center" readingOrder="1"/>
    </xf>
    <xf numFmtId="0" fontId="51" fillId="6" borderId="61" xfId="4" applyFont="1" applyFill="1" applyBorder="1" applyAlignment="1">
      <alignment horizontal="center" vertical="center" wrapText="1" shrinkToFit="1"/>
    </xf>
    <xf numFmtId="0" fontId="54" fillId="0" borderId="60" xfId="4" applyFont="1" applyFill="1" applyBorder="1" applyAlignment="1">
      <alignment horizontal="center" vertical="center" readingOrder="1"/>
    </xf>
    <xf numFmtId="0" fontId="54" fillId="0" borderId="69" xfId="4" applyFont="1" applyFill="1" applyBorder="1" applyAlignment="1">
      <alignment horizontal="center" vertical="center" wrapText="1" readingOrder="1"/>
    </xf>
    <xf numFmtId="0" fontId="51" fillId="0" borderId="37" xfId="4" applyFont="1" applyFill="1" applyBorder="1" applyAlignment="1">
      <alignment horizontal="center" vertical="center" shrinkToFit="1"/>
    </xf>
    <xf numFmtId="0" fontId="51" fillId="0" borderId="61" xfId="4" applyFont="1" applyFill="1" applyBorder="1" applyAlignment="1">
      <alignment horizontal="center" vertical="center" wrapText="1" shrinkToFit="1"/>
    </xf>
    <xf numFmtId="0" fontId="68" fillId="0" borderId="0" xfId="0" applyFont="1" applyAlignment="1">
      <alignment horizontal="center" vertical="center"/>
    </xf>
    <xf numFmtId="49" fontId="27" fillId="2" borderId="33" xfId="0" applyNumberFormat="1" applyFont="1" applyFill="1" applyBorder="1" applyAlignment="1">
      <alignment horizontal="center" vertical="center"/>
    </xf>
    <xf numFmtId="49" fontId="27" fillId="2" borderId="32" xfId="0" applyNumberFormat="1" applyFont="1" applyFill="1" applyBorder="1" applyAlignment="1">
      <alignment horizontal="center" vertical="center"/>
    </xf>
    <xf numFmtId="49" fontId="24" fillId="0" borderId="56" xfId="0" applyNumberFormat="1" applyFont="1" applyBorder="1" applyAlignment="1">
      <alignment horizontal="center" vertical="center" wrapText="1"/>
    </xf>
    <xf numFmtId="49" fontId="24" fillId="0" borderId="16" xfId="0" applyNumberFormat="1" applyFont="1" applyBorder="1" applyAlignment="1">
      <alignment horizontal="center" vertical="center" wrapText="1"/>
    </xf>
    <xf numFmtId="49" fontId="24" fillId="0" borderId="4" xfId="0" applyNumberFormat="1" applyFont="1" applyBorder="1" applyAlignment="1">
      <alignment horizontal="center" vertical="center" wrapText="1"/>
    </xf>
    <xf numFmtId="49" fontId="24" fillId="0" borderId="18" xfId="0" applyNumberFormat="1" applyFont="1" applyFill="1" applyBorder="1" applyAlignment="1">
      <alignment horizontal="center" vertical="center" wrapText="1"/>
    </xf>
    <xf numFmtId="49" fontId="24" fillId="0" borderId="16" xfId="0" applyNumberFormat="1" applyFont="1" applyFill="1" applyBorder="1" applyAlignment="1">
      <alignment horizontal="center" vertical="center" wrapText="1"/>
    </xf>
    <xf numFmtId="49" fontId="24" fillId="0" borderId="4" xfId="0" applyNumberFormat="1" applyFont="1" applyFill="1" applyBorder="1" applyAlignment="1">
      <alignment horizontal="center" vertical="center" wrapText="1"/>
    </xf>
    <xf numFmtId="49" fontId="27" fillId="2" borderId="18" xfId="0" applyNumberFormat="1" applyFont="1" applyFill="1" applyBorder="1" applyAlignment="1">
      <alignment horizontal="center" vertical="center"/>
    </xf>
    <xf numFmtId="49" fontId="27" fillId="2" borderId="75" xfId="0" applyNumberFormat="1" applyFont="1" applyFill="1" applyBorder="1" applyAlignment="1">
      <alignment horizontal="center" vertical="center"/>
    </xf>
    <xf numFmtId="0" fontId="85" fillId="0" borderId="18" xfId="0" applyFont="1" applyBorder="1" applyAlignment="1">
      <alignment horizontal="center" vertical="center"/>
    </xf>
    <xf numFmtId="0" fontId="85" fillId="0" borderId="16" xfId="0" applyFont="1" applyBorder="1" applyAlignment="1">
      <alignment horizontal="center" vertical="center"/>
    </xf>
    <xf numFmtId="0" fontId="85" fillId="0" borderId="4" xfId="0" applyFont="1" applyBorder="1" applyAlignment="1">
      <alignment horizontal="center" vertical="center"/>
    </xf>
    <xf numFmtId="0" fontId="85" fillId="0" borderId="114" xfId="0" applyFont="1" applyBorder="1" applyAlignment="1">
      <alignment horizontal="center" vertical="center" wrapText="1"/>
    </xf>
    <xf numFmtId="0" fontId="85" fillId="0" borderId="124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 wrapText="1"/>
    </xf>
    <xf numFmtId="0" fontId="85" fillId="0" borderId="86" xfId="0" applyFont="1" applyBorder="1" applyAlignment="1">
      <alignment horizontal="center" vertical="center" wrapText="1"/>
    </xf>
    <xf numFmtId="0" fontId="85" fillId="0" borderId="8" xfId="0" applyFont="1" applyBorder="1" applyAlignment="1">
      <alignment horizontal="center" vertical="center"/>
    </xf>
    <xf numFmtId="0" fontId="85" fillId="0" borderId="10" xfId="0" applyFont="1" applyBorder="1" applyAlignment="1">
      <alignment horizontal="center" vertical="center"/>
    </xf>
    <xf numFmtId="0" fontId="85" fillId="0" borderId="111" xfId="0" applyFont="1" applyBorder="1" applyAlignment="1">
      <alignment horizontal="center" vertical="center" wrapText="1"/>
    </xf>
    <xf numFmtId="0" fontId="85" fillId="0" borderId="125" xfId="0" applyFont="1" applyBorder="1" applyAlignment="1">
      <alignment horizontal="center" vertical="center" wrapText="1"/>
    </xf>
    <xf numFmtId="0" fontId="84" fillId="10" borderId="6" xfId="0" applyFont="1" applyFill="1" applyBorder="1" applyAlignment="1">
      <alignment horizontal="center" vertical="center" wrapText="1"/>
    </xf>
    <xf numFmtId="0" fontId="84" fillId="10" borderId="107" xfId="0" applyFont="1" applyFill="1" applyBorder="1" applyAlignment="1">
      <alignment horizontal="center" vertical="center" wrapText="1"/>
    </xf>
    <xf numFmtId="0" fontId="84" fillId="10" borderId="73" xfId="0" applyFont="1" applyFill="1" applyBorder="1" applyAlignment="1">
      <alignment horizontal="center" vertical="center"/>
    </xf>
    <xf numFmtId="0" fontId="84" fillId="10" borderId="108" xfId="0" applyFont="1" applyFill="1" applyBorder="1" applyAlignment="1">
      <alignment horizontal="center" vertical="center"/>
    </xf>
    <xf numFmtId="0" fontId="84" fillId="10" borderId="7" xfId="0" applyFont="1" applyFill="1" applyBorder="1" applyAlignment="1">
      <alignment horizontal="center" vertical="center" wrapText="1"/>
    </xf>
    <xf numFmtId="0" fontId="84" fillId="10" borderId="109" xfId="0" applyFont="1" applyFill="1" applyBorder="1" applyAlignment="1">
      <alignment horizontal="center" vertical="center" wrapText="1"/>
    </xf>
    <xf numFmtId="0" fontId="85" fillId="0" borderId="110" xfId="0" applyFont="1" applyBorder="1" applyAlignment="1">
      <alignment horizontal="center" vertical="center"/>
    </xf>
    <xf numFmtId="0" fontId="84" fillId="0" borderId="56" xfId="0" applyFont="1" applyBorder="1" applyAlignment="1">
      <alignment horizontal="center" vertical="center"/>
    </xf>
    <xf numFmtId="0" fontId="84" fillId="0" borderId="16" xfId="0" applyFont="1" applyBorder="1" applyAlignment="1">
      <alignment horizontal="center" vertical="center"/>
    </xf>
    <xf numFmtId="0" fontId="84" fillId="0" borderId="4" xfId="0" applyFont="1" applyBorder="1" applyAlignment="1">
      <alignment horizontal="center" vertical="center"/>
    </xf>
    <xf numFmtId="0" fontId="84" fillId="0" borderId="18" xfId="0" applyFont="1" applyBorder="1" applyAlignment="1">
      <alignment horizontal="center" vertical="center"/>
    </xf>
    <xf numFmtId="0" fontId="84" fillId="0" borderId="8" xfId="0" applyFont="1" applyBorder="1" applyAlignment="1">
      <alignment horizontal="center" vertical="center"/>
    </xf>
    <xf numFmtId="0" fontId="84" fillId="0" borderId="10" xfId="0" applyFont="1" applyBorder="1" applyAlignment="1">
      <alignment horizontal="center" vertical="center"/>
    </xf>
    <xf numFmtId="0" fontId="84" fillId="10" borderId="5" xfId="0" applyFont="1" applyFill="1" applyBorder="1" applyAlignment="1">
      <alignment horizontal="center" vertical="center"/>
    </xf>
    <xf numFmtId="0" fontId="84" fillId="10" borderId="6" xfId="0" applyFont="1" applyFill="1" applyBorder="1" applyAlignment="1">
      <alignment horizontal="center" vertical="center"/>
    </xf>
    <xf numFmtId="0" fontId="84" fillId="10" borderId="106" xfId="0" applyFont="1" applyFill="1" applyBorder="1" applyAlignment="1">
      <alignment horizontal="center" vertical="center"/>
    </xf>
    <xf numFmtId="0" fontId="84" fillId="10" borderId="107" xfId="0" applyFont="1" applyFill="1" applyBorder="1" applyAlignment="1">
      <alignment horizontal="center" vertical="center"/>
    </xf>
    <xf numFmtId="0" fontId="84" fillId="10" borderId="94" xfId="0" applyFont="1" applyFill="1" applyBorder="1" applyAlignment="1">
      <alignment horizontal="center" vertical="center" wrapText="1"/>
    </xf>
    <xf numFmtId="0" fontId="84" fillId="10" borderId="95" xfId="0" applyFont="1" applyFill="1" applyBorder="1" applyAlignment="1">
      <alignment horizontal="center" vertical="center" wrapText="1"/>
    </xf>
    <xf numFmtId="0" fontId="79" fillId="0" borderId="0" xfId="0" applyFont="1" applyAlignment="1">
      <alignment horizontal="center" vertical="center"/>
    </xf>
    <xf numFmtId="0" fontId="83" fillId="10" borderId="5" xfId="0" applyFont="1" applyFill="1" applyBorder="1" applyAlignment="1">
      <alignment horizontal="center" vertical="center" wrapText="1"/>
    </xf>
    <xf numFmtId="0" fontId="83" fillId="10" borderId="6" xfId="0" applyFont="1" applyFill="1" applyBorder="1" applyAlignment="1">
      <alignment horizontal="center" vertical="center" wrapText="1"/>
    </xf>
    <xf numFmtId="0" fontId="83" fillId="10" borderId="96" xfId="0" applyFont="1" applyFill="1" applyBorder="1" applyAlignment="1">
      <alignment horizontal="center" vertical="center" wrapText="1"/>
    </xf>
    <xf numFmtId="0" fontId="83" fillId="10" borderId="97" xfId="0" applyFont="1" applyFill="1" applyBorder="1" applyAlignment="1">
      <alignment horizontal="center" vertical="center" wrapText="1"/>
    </xf>
    <xf numFmtId="0" fontId="83" fillId="10" borderId="94" xfId="0" applyFont="1" applyFill="1" applyBorder="1" applyAlignment="1">
      <alignment horizontal="center" vertical="center"/>
    </xf>
    <xf numFmtId="0" fontId="83" fillId="10" borderId="95" xfId="0" applyFont="1" applyFill="1" applyBorder="1" applyAlignment="1">
      <alignment horizontal="center" vertical="center"/>
    </xf>
    <xf numFmtId="0" fontId="83" fillId="10" borderId="73" xfId="0" applyFont="1" applyFill="1" applyBorder="1" applyAlignment="1">
      <alignment horizontal="center" vertical="center"/>
    </xf>
    <xf numFmtId="0" fontId="83" fillId="10" borderId="100" xfId="0" applyFont="1" applyFill="1" applyBorder="1" applyAlignment="1">
      <alignment horizontal="center" vertical="center"/>
    </xf>
    <xf numFmtId="0" fontId="83" fillId="10" borderId="7" xfId="0" applyFont="1" applyFill="1" applyBorder="1" applyAlignment="1">
      <alignment horizontal="center" vertical="center" wrapText="1"/>
    </xf>
    <xf numFmtId="0" fontId="83" fillId="10" borderId="101" xfId="0" applyFont="1" applyFill="1" applyBorder="1" applyAlignment="1">
      <alignment horizontal="center" vertical="center" wrapText="1"/>
    </xf>
    <xf numFmtId="0" fontId="13" fillId="0" borderId="42" xfId="2" quotePrefix="1" applyFont="1" applyFill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3" fillId="0" borderId="42" xfId="2" quotePrefix="1" applyFont="1" applyFill="1" applyBorder="1" applyAlignment="1">
      <alignment horizontal="left" vertical="center" wrapText="1"/>
    </xf>
    <xf numFmtId="0" fontId="13" fillId="0" borderId="26" xfId="2" quotePrefix="1" applyFont="1" applyFill="1" applyBorder="1" applyAlignment="1">
      <alignment horizontal="left" vertical="center" wrapText="1"/>
    </xf>
    <xf numFmtId="0" fontId="13" fillId="0" borderId="27" xfId="2" quotePrefix="1" applyFont="1" applyFill="1" applyBorder="1" applyAlignment="1">
      <alignment horizontal="left" vertical="center" wrapText="1"/>
    </xf>
    <xf numFmtId="176" fontId="14" fillId="0" borderId="8" xfId="1" applyNumberFormat="1" applyFont="1" applyBorder="1" applyAlignment="1">
      <alignment horizontal="left" vertical="center" shrinkToFit="1"/>
    </xf>
    <xf numFmtId="176" fontId="14" fillId="0" borderId="0" xfId="1" applyNumberFormat="1" applyFont="1" applyBorder="1" applyAlignment="1">
      <alignment horizontal="left" vertical="center" shrinkToFit="1"/>
    </xf>
    <xf numFmtId="176" fontId="14" fillId="0" borderId="9" xfId="1" applyNumberFormat="1" applyFont="1" applyBorder="1" applyAlignment="1">
      <alignment horizontal="left" vertical="center" shrinkToFit="1"/>
    </xf>
    <xf numFmtId="176" fontId="97" fillId="0" borderId="8" xfId="1" applyNumberFormat="1" applyFont="1" applyBorder="1" applyAlignment="1">
      <alignment horizontal="left" vertical="center" shrinkToFit="1"/>
    </xf>
    <xf numFmtId="176" fontId="97" fillId="0" borderId="0" xfId="1" applyNumberFormat="1" applyFont="1" applyBorder="1" applyAlignment="1">
      <alignment horizontal="left" vertical="center" shrinkToFit="1"/>
    </xf>
    <xf numFmtId="176" fontId="97" fillId="0" borderId="9" xfId="1" applyNumberFormat="1" applyFont="1" applyBorder="1" applyAlignment="1">
      <alignment horizontal="left" vertical="center" shrinkToFit="1"/>
    </xf>
    <xf numFmtId="176" fontId="14" fillId="0" borderId="10" xfId="1" applyNumberFormat="1" applyFont="1" applyBorder="1" applyAlignment="1">
      <alignment horizontal="left" vertical="center" shrinkToFit="1"/>
    </xf>
    <xf numFmtId="176" fontId="14" fillId="0" borderId="11" xfId="1" applyNumberFormat="1" applyFont="1" applyBorder="1" applyAlignment="1">
      <alignment horizontal="left" vertical="center" shrinkToFit="1"/>
    </xf>
    <xf numFmtId="176" fontId="14" fillId="0" borderId="12" xfId="1" applyNumberFormat="1" applyFont="1" applyBorder="1" applyAlignment="1">
      <alignment horizontal="left" vertical="center" shrinkToFit="1"/>
    </xf>
    <xf numFmtId="0" fontId="9" fillId="0" borderId="5" xfId="1" applyFont="1" applyBorder="1" applyAlignment="1">
      <alignment horizontal="left" vertical="center" shrinkToFit="1"/>
    </xf>
    <xf numFmtId="0" fontId="9" fillId="0" borderId="6" xfId="1" applyFont="1" applyBorder="1" applyAlignment="1">
      <alignment horizontal="left" vertical="center" shrinkToFit="1"/>
    </xf>
    <xf numFmtId="0" fontId="9" fillId="0" borderId="7" xfId="1" applyFont="1" applyBorder="1" applyAlignment="1">
      <alignment horizontal="left" vertical="center" shrinkToFit="1"/>
    </xf>
    <xf numFmtId="0" fontId="9" fillId="4" borderId="16" xfId="1" applyFont="1" applyFill="1" applyBorder="1" applyAlignment="1">
      <alignment horizontal="center" vertical="center" wrapText="1" shrinkToFit="1"/>
    </xf>
    <xf numFmtId="0" fontId="9" fillId="4" borderId="3" xfId="1" applyFont="1" applyFill="1" applyBorder="1" applyAlignment="1">
      <alignment horizontal="center" vertical="center" wrapText="1" shrinkToFit="1"/>
    </xf>
    <xf numFmtId="0" fontId="9" fillId="4" borderId="31" xfId="1" applyFont="1" applyFill="1" applyBorder="1" applyAlignment="1">
      <alignment horizontal="center" vertical="center" wrapText="1" shrinkToFit="1"/>
    </xf>
    <xf numFmtId="0" fontId="9" fillId="4" borderId="4" xfId="1" applyFont="1" applyFill="1" applyBorder="1" applyAlignment="1">
      <alignment horizontal="center" vertical="center" wrapText="1" shrinkToFit="1"/>
    </xf>
    <xf numFmtId="0" fontId="14" fillId="0" borderId="28" xfId="2" quotePrefix="1" applyFont="1" applyFill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4" fillId="0" borderId="42" xfId="2" quotePrefix="1" applyFont="1" applyFill="1" applyBorder="1" applyAlignment="1">
      <alignment vertical="center" wrapText="1"/>
    </xf>
    <xf numFmtId="0" fontId="13" fillId="0" borderId="28" xfId="2" quotePrefix="1" applyFont="1" applyFill="1" applyBorder="1" applyAlignment="1">
      <alignment vertical="center" wrapText="1"/>
    </xf>
    <xf numFmtId="0" fontId="13" fillId="0" borderId="21" xfId="2" quotePrefix="1" applyFont="1" applyFill="1" applyBorder="1" applyAlignment="1">
      <alignment vertical="center" wrapText="1"/>
    </xf>
    <xf numFmtId="0" fontId="0" fillId="0" borderId="40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14" fillId="4" borderId="46" xfId="1" applyFont="1" applyFill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47" xfId="0" applyFont="1" applyBorder="1" applyAlignment="1">
      <alignment vertical="center" wrapText="1"/>
    </xf>
    <xf numFmtId="0" fontId="14" fillId="4" borderId="48" xfId="1" applyFont="1" applyFill="1" applyBorder="1" applyAlignment="1">
      <alignment vertical="center" wrapText="1" shrinkToFit="1"/>
    </xf>
    <xf numFmtId="0" fontId="3" fillId="0" borderId="34" xfId="0" applyFont="1" applyBorder="1" applyAlignment="1">
      <alignment vertical="center" wrapText="1" shrinkToFit="1"/>
    </xf>
    <xf numFmtId="0" fontId="3" fillId="0" borderId="49" xfId="0" applyFont="1" applyBorder="1" applyAlignment="1">
      <alignment vertical="center" wrapText="1" shrinkToFit="1"/>
    </xf>
    <xf numFmtId="0" fontId="14" fillId="0" borderId="22" xfId="2" quotePrefix="1" applyFont="1" applyFill="1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4" fillId="4" borderId="43" xfId="1" applyFont="1" applyFill="1" applyBorder="1" applyAlignment="1">
      <alignment vertical="center" wrapText="1" shrinkToFit="1"/>
    </xf>
    <xf numFmtId="0" fontId="3" fillId="0" borderId="44" xfId="0" applyFont="1" applyBorder="1" applyAlignment="1">
      <alignment vertical="center" wrapText="1" shrinkToFit="1"/>
    </xf>
    <xf numFmtId="0" fontId="3" fillId="0" borderId="45" xfId="0" applyFont="1" applyBorder="1" applyAlignment="1">
      <alignment vertical="center" wrapText="1" shrinkToFit="1"/>
    </xf>
    <xf numFmtId="0" fontId="14" fillId="4" borderId="46" xfId="1" applyFont="1" applyFill="1" applyBorder="1" applyAlignment="1">
      <alignment vertical="center" wrapText="1" shrinkToFit="1"/>
    </xf>
    <xf numFmtId="0" fontId="3" fillId="0" borderId="26" xfId="0" applyFont="1" applyBorder="1" applyAlignment="1">
      <alignment vertical="center" wrapText="1" shrinkToFit="1"/>
    </xf>
    <xf numFmtId="0" fontId="3" fillId="0" borderId="47" xfId="0" applyFont="1" applyBorder="1" applyAlignment="1">
      <alignment vertical="center" wrapText="1" shrinkToFit="1"/>
    </xf>
    <xf numFmtId="0" fontId="0" fillId="0" borderId="0" xfId="1" quotePrefix="1" applyFont="1" applyBorder="1" applyAlignment="1">
      <alignment horizontal="left" vertical="center"/>
    </xf>
    <xf numFmtId="0" fontId="17" fillId="0" borderId="0" xfId="1" applyFont="1" applyBorder="1" applyAlignment="1">
      <alignment horizontal="center" vertical="center" shrinkToFit="1"/>
    </xf>
    <xf numFmtId="176" fontId="20" fillId="0" borderId="0" xfId="1" applyNumberFormat="1" applyFont="1" applyBorder="1" applyAlignment="1">
      <alignment horizontal="left" vertical="center" shrinkToFit="1"/>
    </xf>
    <xf numFmtId="176" fontId="14" fillId="0" borderId="5" xfId="1" applyNumberFormat="1" applyFont="1" applyBorder="1" applyAlignment="1">
      <alignment horizontal="left" vertical="center" shrinkToFit="1"/>
    </xf>
    <xf numFmtId="176" fontId="14" fillId="0" borderId="6" xfId="1" applyNumberFormat="1" applyFont="1" applyBorder="1" applyAlignment="1">
      <alignment horizontal="left" vertical="center" shrinkToFit="1"/>
    </xf>
    <xf numFmtId="176" fontId="14" fillId="0" borderId="7" xfId="1" applyNumberFormat="1" applyFont="1" applyBorder="1" applyAlignment="1">
      <alignment horizontal="left" vertical="center" shrinkToFit="1"/>
    </xf>
    <xf numFmtId="176" fontId="97" fillId="0" borderId="8" xfId="1" quotePrefix="1" applyNumberFormat="1" applyFont="1" applyBorder="1" applyAlignment="1">
      <alignment horizontal="left" vertical="center" shrinkToFit="1"/>
    </xf>
    <xf numFmtId="176" fontId="14" fillId="0" borderId="8" xfId="1" applyNumberFormat="1" applyFont="1" applyBorder="1" applyAlignment="1">
      <alignment horizontal="left" vertical="center" wrapText="1" shrinkToFit="1"/>
    </xf>
    <xf numFmtId="176" fontId="14" fillId="0" borderId="0" xfId="1" applyNumberFormat="1" applyFont="1" applyBorder="1" applyAlignment="1">
      <alignment horizontal="left" vertical="center" wrapText="1" shrinkToFit="1"/>
    </xf>
    <xf numFmtId="176" fontId="14" fillId="0" borderId="9" xfId="1" applyNumberFormat="1" applyFont="1" applyBorder="1" applyAlignment="1">
      <alignment horizontal="left" vertical="center" wrapText="1" shrinkToFit="1"/>
    </xf>
    <xf numFmtId="176" fontId="97" fillId="0" borderId="8" xfId="1" applyNumberFormat="1" applyFont="1" applyBorder="1" applyAlignment="1">
      <alignment horizontal="left" vertical="center" wrapText="1" shrinkToFit="1"/>
    </xf>
    <xf numFmtId="176" fontId="97" fillId="0" borderId="0" xfId="1" applyNumberFormat="1" applyFont="1" applyBorder="1" applyAlignment="1">
      <alignment horizontal="left" vertical="center" wrapText="1" shrinkToFit="1"/>
    </xf>
    <xf numFmtId="176" fontId="97" fillId="0" borderId="9" xfId="1" applyNumberFormat="1" applyFont="1" applyBorder="1" applyAlignment="1">
      <alignment horizontal="left" vertical="center" wrapText="1" shrinkToFi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76" fontId="14" fillId="0" borderId="8" xfId="1" quotePrefix="1" applyNumberFormat="1" applyFont="1" applyBorder="1" applyAlignment="1">
      <alignment horizontal="left" vertical="center" shrinkToFit="1"/>
    </xf>
    <xf numFmtId="0" fontId="13" fillId="0" borderId="26" xfId="2" quotePrefix="1" applyFont="1" applyFill="1" applyBorder="1" applyAlignment="1">
      <alignment vertical="center" wrapText="1"/>
    </xf>
    <xf numFmtId="0" fontId="13" fillId="0" borderId="27" xfId="2" quotePrefix="1" applyFont="1" applyFill="1" applyBorder="1" applyAlignment="1">
      <alignment vertical="center" wrapText="1"/>
    </xf>
    <xf numFmtId="0" fontId="13" fillId="11" borderId="21" xfId="2" quotePrefix="1" applyFont="1" applyFill="1" applyBorder="1" applyAlignment="1">
      <alignment vertical="center" wrapText="1"/>
    </xf>
    <xf numFmtId="0" fontId="0" fillId="11" borderId="40" xfId="0" applyFill="1" applyBorder="1" applyAlignment="1">
      <alignment vertical="center" wrapText="1"/>
    </xf>
    <xf numFmtId="0" fontId="0" fillId="11" borderId="41" xfId="0" applyFill="1" applyBorder="1" applyAlignment="1">
      <alignment vertical="center" wrapText="1"/>
    </xf>
    <xf numFmtId="0" fontId="14" fillId="11" borderId="42" xfId="2" quotePrefix="1" applyFont="1" applyFill="1" applyBorder="1" applyAlignment="1">
      <alignment vertical="center" wrapText="1"/>
    </xf>
    <xf numFmtId="0" fontId="0" fillId="11" borderId="26" xfId="0" applyFill="1" applyBorder="1" applyAlignment="1">
      <alignment vertical="center" wrapText="1"/>
    </xf>
    <xf numFmtId="0" fontId="0" fillId="11" borderId="27" xfId="0" applyFill="1" applyBorder="1" applyAlignment="1">
      <alignment vertical="center" wrapText="1"/>
    </xf>
    <xf numFmtId="0" fontId="13" fillId="11" borderId="42" xfId="2" quotePrefix="1" applyFont="1" applyFill="1" applyBorder="1" applyAlignment="1">
      <alignment vertical="center" wrapText="1"/>
    </xf>
    <xf numFmtId="176" fontId="13" fillId="0" borderId="8" xfId="1" applyNumberFormat="1" applyFont="1" applyBorder="1" applyAlignment="1">
      <alignment horizontal="left" vertical="center" wrapText="1" shrinkToFit="1"/>
    </xf>
    <xf numFmtId="176" fontId="13" fillId="0" borderId="0" xfId="1" applyNumberFormat="1" applyFont="1" applyBorder="1" applyAlignment="1">
      <alignment horizontal="left" vertical="center" wrapText="1" shrinkToFit="1"/>
    </xf>
    <xf numFmtId="176" fontId="13" fillId="0" borderId="9" xfId="1" applyNumberFormat="1" applyFont="1" applyBorder="1" applyAlignment="1">
      <alignment horizontal="left" vertical="center" wrapText="1" shrinkToFit="1"/>
    </xf>
    <xf numFmtId="176" fontId="13" fillId="0" borderId="8" xfId="1" applyNumberFormat="1" applyFont="1" applyBorder="1" applyAlignment="1">
      <alignment horizontal="left" vertical="center" shrinkToFit="1"/>
    </xf>
    <xf numFmtId="176" fontId="13" fillId="0" borderId="0" xfId="1" applyNumberFormat="1" applyFont="1" applyBorder="1" applyAlignment="1">
      <alignment horizontal="left" vertical="center" shrinkToFit="1"/>
    </xf>
    <xf numFmtId="176" fontId="13" fillId="0" borderId="9" xfId="1" applyNumberFormat="1" applyFont="1" applyBorder="1" applyAlignment="1">
      <alignment horizontal="left" vertical="center" shrinkToFi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176" fontId="14" fillId="0" borderId="8" xfId="1" applyNumberFormat="1" applyFont="1" applyBorder="1" applyAlignment="1">
      <alignment vertical="center" shrinkToFit="1"/>
    </xf>
    <xf numFmtId="176" fontId="14" fillId="0" borderId="0" xfId="1" applyNumberFormat="1" applyFont="1" applyBorder="1" applyAlignment="1">
      <alignment vertical="center" shrinkToFit="1"/>
    </xf>
    <xf numFmtId="176" fontId="14" fillId="0" borderId="9" xfId="1" applyNumberFormat="1" applyFont="1" applyBorder="1" applyAlignment="1">
      <alignment vertical="center" shrinkToFit="1"/>
    </xf>
    <xf numFmtId="0" fontId="9" fillId="4" borderId="33" xfId="1" applyFont="1" applyFill="1" applyBorder="1" applyAlignment="1">
      <alignment horizontal="center" vertical="center"/>
    </xf>
    <xf numFmtId="0" fontId="9" fillId="4" borderId="39" xfId="1" applyFont="1" applyFill="1" applyBorder="1" applyAlignment="1">
      <alignment horizontal="center" vertical="center"/>
    </xf>
    <xf numFmtId="0" fontId="9" fillId="4" borderId="32" xfId="1" applyFont="1" applyFill="1" applyBorder="1" applyAlignment="1">
      <alignment horizontal="center" vertical="center"/>
    </xf>
    <xf numFmtId="0" fontId="9" fillId="0" borderId="126" xfId="1" applyFont="1" applyBorder="1" applyAlignment="1">
      <alignment horizontal="left" vertical="center" shrinkToFit="1"/>
    </xf>
    <xf numFmtId="0" fontId="9" fillId="0" borderId="127" xfId="1" applyFont="1" applyBorder="1" applyAlignment="1">
      <alignment horizontal="left" vertical="center" shrinkToFit="1"/>
    </xf>
    <xf numFmtId="0" fontId="9" fillId="0" borderId="128" xfId="1" applyFont="1" applyBorder="1" applyAlignment="1">
      <alignment horizontal="left" vertical="center" shrinkToFit="1"/>
    </xf>
  </cellXfs>
  <cellStyles count="6">
    <cellStyle name="표준" xfId="0" builtinId="0"/>
    <cellStyle name="표준 2" xfId="1"/>
    <cellStyle name="표준 2 2" xfId="4"/>
    <cellStyle name="표준 3" xfId="2"/>
    <cellStyle name="표준 3 2" xfId="5"/>
    <cellStyle name="표준 4" xfId="3"/>
  </cellStyles>
  <dxfs count="167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26</xdr:row>
      <xdr:rowOff>134471</xdr:rowOff>
    </xdr:from>
    <xdr:to>
      <xdr:col>7</xdr:col>
      <xdr:colOff>470646</xdr:colOff>
      <xdr:row>31</xdr:row>
      <xdr:rowOff>112058</xdr:rowOff>
    </xdr:to>
    <xdr:sp macro="" textlink="">
      <xdr:nvSpPr>
        <xdr:cNvPr id="2" name="직사각형 1"/>
        <xdr:cNvSpPr/>
      </xdr:nvSpPr>
      <xdr:spPr>
        <a:xfrm>
          <a:off x="2991971" y="4852147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67235</xdr:colOff>
      <xdr:row>31</xdr:row>
      <xdr:rowOff>145677</xdr:rowOff>
    </xdr:from>
    <xdr:to>
      <xdr:col>7</xdr:col>
      <xdr:colOff>347381</xdr:colOff>
      <xdr:row>36</xdr:row>
      <xdr:rowOff>123264</xdr:rowOff>
    </xdr:to>
    <xdr:sp macro="" textlink="">
      <xdr:nvSpPr>
        <xdr:cNvPr id="2" name="직사각형 1"/>
        <xdr:cNvSpPr/>
      </xdr:nvSpPr>
      <xdr:spPr>
        <a:xfrm>
          <a:off x="2868706" y="4863353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448235</xdr:colOff>
      <xdr:row>27</xdr:row>
      <xdr:rowOff>123265</xdr:rowOff>
    </xdr:from>
    <xdr:to>
      <xdr:col>7</xdr:col>
      <xdr:colOff>728381</xdr:colOff>
      <xdr:row>32</xdr:row>
      <xdr:rowOff>100852</xdr:rowOff>
    </xdr:to>
    <xdr:sp macro="" textlink="">
      <xdr:nvSpPr>
        <xdr:cNvPr id="2" name="직사각형 1"/>
        <xdr:cNvSpPr/>
      </xdr:nvSpPr>
      <xdr:spPr>
        <a:xfrm>
          <a:off x="3249706" y="4840941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302559</xdr:colOff>
      <xdr:row>36</xdr:row>
      <xdr:rowOff>168089</xdr:rowOff>
    </xdr:from>
    <xdr:to>
      <xdr:col>7</xdr:col>
      <xdr:colOff>582705</xdr:colOff>
      <xdr:row>41</xdr:row>
      <xdr:rowOff>145676</xdr:rowOff>
    </xdr:to>
    <xdr:sp macro="" textlink="">
      <xdr:nvSpPr>
        <xdr:cNvPr id="2" name="직사각형 1"/>
        <xdr:cNvSpPr/>
      </xdr:nvSpPr>
      <xdr:spPr>
        <a:xfrm>
          <a:off x="3104030" y="4885765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526677</xdr:colOff>
      <xdr:row>28</xdr:row>
      <xdr:rowOff>134471</xdr:rowOff>
    </xdr:from>
    <xdr:to>
      <xdr:col>7</xdr:col>
      <xdr:colOff>806823</xdr:colOff>
      <xdr:row>33</xdr:row>
      <xdr:rowOff>112058</xdr:rowOff>
    </xdr:to>
    <xdr:sp macro="" textlink="">
      <xdr:nvSpPr>
        <xdr:cNvPr id="2" name="직사각형 1"/>
        <xdr:cNvSpPr/>
      </xdr:nvSpPr>
      <xdr:spPr>
        <a:xfrm>
          <a:off x="3328148" y="4852147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448235</xdr:colOff>
      <xdr:row>20</xdr:row>
      <xdr:rowOff>100853</xdr:rowOff>
    </xdr:from>
    <xdr:to>
      <xdr:col>7</xdr:col>
      <xdr:colOff>728381</xdr:colOff>
      <xdr:row>25</xdr:row>
      <xdr:rowOff>78440</xdr:rowOff>
    </xdr:to>
    <xdr:sp macro="" textlink="">
      <xdr:nvSpPr>
        <xdr:cNvPr id="2" name="직사각형 1"/>
        <xdr:cNvSpPr/>
      </xdr:nvSpPr>
      <xdr:spPr>
        <a:xfrm>
          <a:off x="3249706" y="4818529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627529</xdr:colOff>
      <xdr:row>20</xdr:row>
      <xdr:rowOff>145676</xdr:rowOff>
    </xdr:from>
    <xdr:to>
      <xdr:col>7</xdr:col>
      <xdr:colOff>907675</xdr:colOff>
      <xdr:row>25</xdr:row>
      <xdr:rowOff>123263</xdr:rowOff>
    </xdr:to>
    <xdr:sp macro="" textlink="">
      <xdr:nvSpPr>
        <xdr:cNvPr id="2" name="직사각형 1"/>
        <xdr:cNvSpPr/>
      </xdr:nvSpPr>
      <xdr:spPr>
        <a:xfrm>
          <a:off x="3429000" y="4863352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392206</xdr:colOff>
      <xdr:row>24</xdr:row>
      <xdr:rowOff>145676</xdr:rowOff>
    </xdr:from>
    <xdr:to>
      <xdr:col>7</xdr:col>
      <xdr:colOff>672352</xdr:colOff>
      <xdr:row>29</xdr:row>
      <xdr:rowOff>123263</xdr:rowOff>
    </xdr:to>
    <xdr:sp macro="" textlink="">
      <xdr:nvSpPr>
        <xdr:cNvPr id="2" name="직사각형 1"/>
        <xdr:cNvSpPr/>
      </xdr:nvSpPr>
      <xdr:spPr>
        <a:xfrm>
          <a:off x="3193677" y="4863352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224118</xdr:colOff>
      <xdr:row>20</xdr:row>
      <xdr:rowOff>145676</xdr:rowOff>
    </xdr:from>
    <xdr:to>
      <xdr:col>7</xdr:col>
      <xdr:colOff>504264</xdr:colOff>
      <xdr:row>25</xdr:row>
      <xdr:rowOff>123263</xdr:rowOff>
    </xdr:to>
    <xdr:sp macro="" textlink="">
      <xdr:nvSpPr>
        <xdr:cNvPr id="2" name="직사각형 1"/>
        <xdr:cNvSpPr/>
      </xdr:nvSpPr>
      <xdr:spPr>
        <a:xfrm>
          <a:off x="3025589" y="4863352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235324</xdr:colOff>
      <xdr:row>20</xdr:row>
      <xdr:rowOff>156882</xdr:rowOff>
    </xdr:from>
    <xdr:to>
      <xdr:col>7</xdr:col>
      <xdr:colOff>515470</xdr:colOff>
      <xdr:row>25</xdr:row>
      <xdr:rowOff>134469</xdr:rowOff>
    </xdr:to>
    <xdr:sp macro="" textlink="">
      <xdr:nvSpPr>
        <xdr:cNvPr id="2" name="직사각형 1"/>
        <xdr:cNvSpPr/>
      </xdr:nvSpPr>
      <xdr:spPr>
        <a:xfrm>
          <a:off x="3036795" y="4874558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369794</xdr:colOff>
      <xdr:row>20</xdr:row>
      <xdr:rowOff>145676</xdr:rowOff>
    </xdr:from>
    <xdr:to>
      <xdr:col>7</xdr:col>
      <xdr:colOff>649940</xdr:colOff>
      <xdr:row>25</xdr:row>
      <xdr:rowOff>123263</xdr:rowOff>
    </xdr:to>
    <xdr:sp macro="" textlink="">
      <xdr:nvSpPr>
        <xdr:cNvPr id="2" name="직사각형 1"/>
        <xdr:cNvSpPr/>
      </xdr:nvSpPr>
      <xdr:spPr>
        <a:xfrm>
          <a:off x="3171265" y="4863352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224117</xdr:colOff>
      <xdr:row>20</xdr:row>
      <xdr:rowOff>145677</xdr:rowOff>
    </xdr:from>
    <xdr:to>
      <xdr:col>7</xdr:col>
      <xdr:colOff>504263</xdr:colOff>
      <xdr:row>25</xdr:row>
      <xdr:rowOff>123264</xdr:rowOff>
    </xdr:to>
    <xdr:sp macro="" textlink="">
      <xdr:nvSpPr>
        <xdr:cNvPr id="2" name="직사각형 1"/>
        <xdr:cNvSpPr/>
      </xdr:nvSpPr>
      <xdr:spPr>
        <a:xfrm>
          <a:off x="3025588" y="4863353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257735</xdr:colOff>
      <xdr:row>20</xdr:row>
      <xdr:rowOff>145676</xdr:rowOff>
    </xdr:from>
    <xdr:to>
      <xdr:col>7</xdr:col>
      <xdr:colOff>537881</xdr:colOff>
      <xdr:row>25</xdr:row>
      <xdr:rowOff>123263</xdr:rowOff>
    </xdr:to>
    <xdr:sp macro="" textlink="">
      <xdr:nvSpPr>
        <xdr:cNvPr id="2" name="직사각형 1"/>
        <xdr:cNvSpPr/>
      </xdr:nvSpPr>
      <xdr:spPr>
        <a:xfrm>
          <a:off x="3059206" y="4863352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33618</xdr:colOff>
      <xdr:row>20</xdr:row>
      <xdr:rowOff>156882</xdr:rowOff>
    </xdr:from>
    <xdr:to>
      <xdr:col>7</xdr:col>
      <xdr:colOff>313764</xdr:colOff>
      <xdr:row>25</xdr:row>
      <xdr:rowOff>134469</xdr:rowOff>
    </xdr:to>
    <xdr:sp macro="" textlink="">
      <xdr:nvSpPr>
        <xdr:cNvPr id="2" name="직사각형 1"/>
        <xdr:cNvSpPr/>
      </xdr:nvSpPr>
      <xdr:spPr>
        <a:xfrm>
          <a:off x="2835089" y="4874558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403412</xdr:colOff>
      <xdr:row>20</xdr:row>
      <xdr:rowOff>134470</xdr:rowOff>
    </xdr:from>
    <xdr:to>
      <xdr:col>7</xdr:col>
      <xdr:colOff>683558</xdr:colOff>
      <xdr:row>25</xdr:row>
      <xdr:rowOff>112057</xdr:rowOff>
    </xdr:to>
    <xdr:sp macro="" textlink="">
      <xdr:nvSpPr>
        <xdr:cNvPr id="2" name="직사각형 1"/>
        <xdr:cNvSpPr/>
      </xdr:nvSpPr>
      <xdr:spPr>
        <a:xfrm>
          <a:off x="3204883" y="4852146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268941</xdr:colOff>
      <xdr:row>20</xdr:row>
      <xdr:rowOff>123265</xdr:rowOff>
    </xdr:from>
    <xdr:to>
      <xdr:col>7</xdr:col>
      <xdr:colOff>549087</xdr:colOff>
      <xdr:row>25</xdr:row>
      <xdr:rowOff>100852</xdr:rowOff>
    </xdr:to>
    <xdr:sp macro="" textlink="">
      <xdr:nvSpPr>
        <xdr:cNvPr id="2" name="직사각형 1"/>
        <xdr:cNvSpPr/>
      </xdr:nvSpPr>
      <xdr:spPr>
        <a:xfrm>
          <a:off x="3070412" y="4840941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112059</xdr:colOff>
      <xdr:row>20</xdr:row>
      <xdr:rowOff>145676</xdr:rowOff>
    </xdr:from>
    <xdr:to>
      <xdr:col>7</xdr:col>
      <xdr:colOff>392205</xdr:colOff>
      <xdr:row>25</xdr:row>
      <xdr:rowOff>123263</xdr:rowOff>
    </xdr:to>
    <xdr:sp macro="" textlink="">
      <xdr:nvSpPr>
        <xdr:cNvPr id="2" name="직사각형 1"/>
        <xdr:cNvSpPr/>
      </xdr:nvSpPr>
      <xdr:spPr>
        <a:xfrm>
          <a:off x="2913530" y="4863352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212911</xdr:colOff>
      <xdr:row>20</xdr:row>
      <xdr:rowOff>145677</xdr:rowOff>
    </xdr:from>
    <xdr:to>
      <xdr:col>7</xdr:col>
      <xdr:colOff>493057</xdr:colOff>
      <xdr:row>25</xdr:row>
      <xdr:rowOff>123264</xdr:rowOff>
    </xdr:to>
    <xdr:sp macro="" textlink="">
      <xdr:nvSpPr>
        <xdr:cNvPr id="2" name="직사각형 1"/>
        <xdr:cNvSpPr/>
      </xdr:nvSpPr>
      <xdr:spPr>
        <a:xfrm>
          <a:off x="3014382" y="4863353"/>
          <a:ext cx="2812675" cy="12102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/>
            <a:t>효율파트 업무일지  확인후 복사하여 삽입후</a:t>
          </a:r>
          <a:r>
            <a:rPr lang="en-US" altLang="ko-KR" sz="1400"/>
            <a:t>(</a:t>
          </a:r>
          <a:r>
            <a:rPr lang="ko-KR" altLang="en-US" sz="1400"/>
            <a:t>없을 경우 생략</a:t>
          </a:r>
          <a:r>
            <a:rPr lang="en-US" altLang="ko-KR" sz="1400"/>
            <a:t>)</a:t>
          </a:r>
        </a:p>
        <a:p>
          <a:pPr algn="l"/>
          <a:r>
            <a:rPr lang="ko-KR" altLang="en-US" sz="1400"/>
            <a:t>본 메보란 삭제 요망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4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6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9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0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1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2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3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4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81"/>
  <sheetViews>
    <sheetView showGridLines="0" view="pageBreakPreview" zoomScale="55" zoomScaleNormal="70" zoomScaleSheetLayoutView="55" workbookViewId="0">
      <selection activeCell="F56" sqref="F56"/>
    </sheetView>
  </sheetViews>
  <sheetFormatPr defaultColWidth="9" defaultRowHeight="28.5" customHeight="1" x14ac:dyDescent="0.3"/>
  <cols>
    <col min="1" max="1" width="8.75" style="122" customWidth="1"/>
    <col min="2" max="2" width="9.875" style="122" customWidth="1"/>
    <col min="3" max="3" width="11.5" style="122" customWidth="1"/>
    <col min="4" max="4" width="15.875" style="122" customWidth="1"/>
    <col min="5" max="5" width="17.875" style="122" customWidth="1"/>
    <col min="6" max="6" width="80.625" style="124" customWidth="1"/>
    <col min="7" max="7" width="13.5" style="122" customWidth="1"/>
    <col min="8" max="8" width="15.375" style="123" customWidth="1"/>
    <col min="9" max="9" width="1" style="82" customWidth="1"/>
    <col min="10" max="16384" width="9" style="82"/>
  </cols>
  <sheetData>
    <row r="1" spans="1:8" s="70" customFormat="1" ht="52.5" customHeight="1" x14ac:dyDescent="0.3">
      <c r="A1" s="561" t="s">
        <v>90</v>
      </c>
      <c r="B1" s="561"/>
      <c r="C1" s="561"/>
      <c r="D1" s="561"/>
      <c r="E1" s="561"/>
      <c r="F1" s="561"/>
      <c r="G1" s="561"/>
      <c r="H1" s="167"/>
    </row>
    <row r="2" spans="1:8" s="70" customFormat="1" ht="24.95" customHeight="1" x14ac:dyDescent="0.3">
      <c r="A2" s="71" t="s">
        <v>91</v>
      </c>
      <c r="B2" s="72"/>
      <c r="C2" s="73"/>
      <c r="D2" s="73"/>
      <c r="E2" s="73"/>
      <c r="F2" s="74"/>
      <c r="G2" s="73"/>
      <c r="H2" s="72"/>
    </row>
    <row r="3" spans="1:8" s="70" customFormat="1" ht="24.95" customHeight="1" thickBot="1" x14ac:dyDescent="0.35">
      <c r="A3" s="71" t="s">
        <v>92</v>
      </c>
      <c r="B3" s="72"/>
      <c r="C3" s="73"/>
      <c r="D3" s="73"/>
      <c r="E3" s="73"/>
      <c r="F3" s="74"/>
      <c r="G3" s="136" t="s">
        <v>93</v>
      </c>
    </row>
    <row r="4" spans="1:8" s="76" customFormat="1" ht="24.95" customHeight="1" thickBot="1" x14ac:dyDescent="0.35">
      <c r="A4" s="562" t="s">
        <v>59</v>
      </c>
      <c r="B4" s="563"/>
      <c r="C4" s="168" t="s">
        <v>94</v>
      </c>
      <c r="D4" s="168" t="s">
        <v>95</v>
      </c>
      <c r="E4" s="168" t="s">
        <v>60</v>
      </c>
      <c r="F4" s="168" t="s">
        <v>96</v>
      </c>
      <c r="G4" s="75" t="s">
        <v>97</v>
      </c>
      <c r="H4" s="75" t="s">
        <v>98</v>
      </c>
    </row>
    <row r="5" spans="1:8" ht="20.100000000000001" customHeight="1" thickTop="1" x14ac:dyDescent="0.3">
      <c r="A5" s="77" t="s">
        <v>99</v>
      </c>
      <c r="B5" s="78" t="s">
        <v>100</v>
      </c>
      <c r="C5" s="557" t="s">
        <v>101</v>
      </c>
      <c r="D5" s="559" t="s">
        <v>102</v>
      </c>
      <c r="E5" s="79" t="s">
        <v>103</v>
      </c>
      <c r="F5" s="80" t="s">
        <v>104</v>
      </c>
      <c r="G5" s="125" t="s">
        <v>105</v>
      </c>
      <c r="H5" s="81"/>
    </row>
    <row r="6" spans="1:8" ht="20.100000000000001" customHeight="1" x14ac:dyDescent="0.3">
      <c r="A6" s="77"/>
      <c r="B6" s="78"/>
      <c r="C6" s="526"/>
      <c r="D6" s="529"/>
      <c r="E6" s="564" t="s">
        <v>106</v>
      </c>
      <c r="F6" s="83" t="s">
        <v>107</v>
      </c>
      <c r="G6" s="538" t="s">
        <v>105</v>
      </c>
      <c r="H6" s="84"/>
    </row>
    <row r="7" spans="1:8" ht="20.100000000000001" customHeight="1" x14ac:dyDescent="0.3">
      <c r="A7" s="77"/>
      <c r="B7" s="78"/>
      <c r="C7" s="526"/>
      <c r="D7" s="529"/>
      <c r="E7" s="565"/>
      <c r="F7" s="83" t="s">
        <v>108</v>
      </c>
      <c r="G7" s="542"/>
      <c r="H7" s="84"/>
    </row>
    <row r="8" spans="1:8" ht="20.100000000000001" customHeight="1" x14ac:dyDescent="0.3">
      <c r="A8" s="77"/>
      <c r="B8" s="78"/>
      <c r="C8" s="526"/>
      <c r="D8" s="529"/>
      <c r="E8" s="565"/>
      <c r="F8" s="83" t="s">
        <v>109</v>
      </c>
      <c r="G8" s="542"/>
      <c r="H8" s="84"/>
    </row>
    <row r="9" spans="1:8" ht="21" customHeight="1" x14ac:dyDescent="0.3">
      <c r="A9" s="77"/>
      <c r="B9" s="78"/>
      <c r="C9" s="526"/>
      <c r="D9" s="529"/>
      <c r="E9" s="566"/>
      <c r="F9" s="85" t="s">
        <v>61</v>
      </c>
      <c r="G9" s="539"/>
      <c r="H9" s="86"/>
    </row>
    <row r="10" spans="1:8" ht="20.100000000000001" customHeight="1" x14ac:dyDescent="0.3">
      <c r="A10" s="77"/>
      <c r="B10" s="78"/>
      <c r="C10" s="526"/>
      <c r="D10" s="529"/>
      <c r="E10" s="541" t="s">
        <v>110</v>
      </c>
      <c r="F10" s="87" t="s">
        <v>111</v>
      </c>
      <c r="G10" s="538" t="s">
        <v>112</v>
      </c>
      <c r="H10" s="84"/>
    </row>
    <row r="11" spans="1:8" ht="20.100000000000001" customHeight="1" x14ac:dyDescent="0.3">
      <c r="A11" s="77"/>
      <c r="B11" s="78"/>
      <c r="C11" s="526"/>
      <c r="D11" s="529"/>
      <c r="E11" s="567"/>
      <c r="F11" s="89" t="s">
        <v>113</v>
      </c>
      <c r="G11" s="539"/>
      <c r="H11" s="141" t="s">
        <v>114</v>
      </c>
    </row>
    <row r="12" spans="1:8" ht="20.100000000000001" customHeight="1" x14ac:dyDescent="0.3">
      <c r="A12" s="77"/>
      <c r="B12" s="78"/>
      <c r="C12" s="526"/>
      <c r="D12" s="529"/>
      <c r="E12" s="555" t="s">
        <v>115</v>
      </c>
      <c r="F12" s="90" t="s">
        <v>116</v>
      </c>
      <c r="G12" s="568" t="s">
        <v>117</v>
      </c>
      <c r="H12" s="142" t="s">
        <v>67</v>
      </c>
    </row>
    <row r="13" spans="1:8" ht="20.100000000000001" customHeight="1" x14ac:dyDescent="0.3">
      <c r="A13" s="77"/>
      <c r="B13" s="78"/>
      <c r="C13" s="526"/>
      <c r="D13" s="529"/>
      <c r="E13" s="560"/>
      <c r="F13" s="91" t="s">
        <v>118</v>
      </c>
      <c r="G13" s="569"/>
      <c r="H13" s="138" t="s">
        <v>119</v>
      </c>
    </row>
    <row r="14" spans="1:8" ht="20.100000000000001" customHeight="1" x14ac:dyDescent="0.3">
      <c r="A14" s="77"/>
      <c r="B14" s="78"/>
      <c r="C14" s="526"/>
      <c r="D14" s="529"/>
      <c r="E14" s="560"/>
      <c r="F14" s="83" t="s">
        <v>51</v>
      </c>
      <c r="G14" s="569"/>
      <c r="H14" s="138" t="s">
        <v>67</v>
      </c>
    </row>
    <row r="15" spans="1:8" ht="20.100000000000001" customHeight="1" x14ac:dyDescent="0.3">
      <c r="A15" s="77"/>
      <c r="B15" s="78"/>
      <c r="C15" s="526"/>
      <c r="D15" s="529"/>
      <c r="E15" s="556"/>
      <c r="F15" s="93" t="s">
        <v>120</v>
      </c>
      <c r="G15" s="570"/>
      <c r="H15" s="239" t="s">
        <v>67</v>
      </c>
    </row>
    <row r="16" spans="1:8" ht="20.100000000000001" customHeight="1" x14ac:dyDescent="0.3">
      <c r="A16" s="77"/>
      <c r="B16" s="78"/>
      <c r="C16" s="558"/>
      <c r="D16" s="535"/>
      <c r="E16" s="240" t="s">
        <v>121</v>
      </c>
      <c r="F16" s="241" t="s">
        <v>122</v>
      </c>
      <c r="G16" s="242" t="s">
        <v>123</v>
      </c>
      <c r="H16" s="143"/>
    </row>
    <row r="17" spans="1:8" ht="20.100000000000001" customHeight="1" x14ac:dyDescent="0.3">
      <c r="A17" s="77"/>
      <c r="B17" s="78"/>
      <c r="C17" s="525" t="s">
        <v>231</v>
      </c>
      <c r="D17" s="528" t="s">
        <v>124</v>
      </c>
      <c r="E17" s="551" t="s">
        <v>125</v>
      </c>
      <c r="F17" s="83" t="s">
        <v>52</v>
      </c>
      <c r="G17" s="547" t="s">
        <v>126</v>
      </c>
      <c r="H17" s="84"/>
    </row>
    <row r="18" spans="1:8" ht="20.100000000000001" customHeight="1" x14ac:dyDescent="0.3">
      <c r="A18" s="77"/>
      <c r="B18" s="78"/>
      <c r="C18" s="526"/>
      <c r="D18" s="529"/>
      <c r="E18" s="551"/>
      <c r="F18" s="83" t="s">
        <v>127</v>
      </c>
      <c r="G18" s="542"/>
      <c r="H18" s="84"/>
    </row>
    <row r="19" spans="1:8" ht="20.100000000000001" customHeight="1" x14ac:dyDescent="0.3">
      <c r="A19" s="77"/>
      <c r="B19" s="78"/>
      <c r="C19" s="526"/>
      <c r="D19" s="529"/>
      <c r="E19" s="551"/>
      <c r="F19" s="83" t="s">
        <v>128</v>
      </c>
      <c r="G19" s="542"/>
      <c r="H19" s="84"/>
    </row>
    <row r="20" spans="1:8" ht="20.100000000000001" customHeight="1" x14ac:dyDescent="0.3">
      <c r="A20" s="77"/>
      <c r="B20" s="78"/>
      <c r="C20" s="526"/>
      <c r="D20" s="529"/>
      <c r="E20" s="551"/>
      <c r="F20" s="83" t="s">
        <v>129</v>
      </c>
      <c r="G20" s="542"/>
      <c r="H20" s="84"/>
    </row>
    <row r="21" spans="1:8" ht="20.100000000000001" customHeight="1" x14ac:dyDescent="0.3">
      <c r="A21" s="77"/>
      <c r="B21" s="78"/>
      <c r="C21" s="526"/>
      <c r="D21" s="529"/>
      <c r="E21" s="551"/>
      <c r="F21" s="83" t="s">
        <v>130</v>
      </c>
      <c r="G21" s="542"/>
      <c r="H21" s="84"/>
    </row>
    <row r="22" spans="1:8" ht="20.100000000000001" customHeight="1" x14ac:dyDescent="0.3">
      <c r="A22" s="77"/>
      <c r="B22" s="78"/>
      <c r="C22" s="526"/>
      <c r="D22" s="529"/>
      <c r="E22" s="551"/>
      <c r="F22" s="83" t="s">
        <v>131</v>
      </c>
      <c r="G22" s="542"/>
      <c r="H22" s="84"/>
    </row>
    <row r="23" spans="1:8" ht="20.100000000000001" customHeight="1" x14ac:dyDescent="0.3">
      <c r="A23" s="77"/>
      <c r="B23" s="78"/>
      <c r="C23" s="526"/>
      <c r="D23" s="529"/>
      <c r="E23" s="551"/>
      <c r="F23" s="83" t="s">
        <v>132</v>
      </c>
      <c r="G23" s="126" t="s">
        <v>133</v>
      </c>
      <c r="H23" s="92"/>
    </row>
    <row r="24" spans="1:8" ht="20.100000000000001" customHeight="1" x14ac:dyDescent="0.3">
      <c r="A24" s="77"/>
      <c r="B24" s="78"/>
      <c r="C24" s="526"/>
      <c r="D24" s="529"/>
      <c r="E24" s="552"/>
      <c r="F24" s="93" t="s">
        <v>134</v>
      </c>
      <c r="G24" s="166"/>
      <c r="H24" s="94"/>
    </row>
    <row r="25" spans="1:8" ht="20.100000000000001" customHeight="1" x14ac:dyDescent="0.3">
      <c r="A25" s="77"/>
      <c r="B25" s="78"/>
      <c r="C25" s="526"/>
      <c r="D25" s="529"/>
      <c r="E25" s="544" t="s">
        <v>135</v>
      </c>
      <c r="F25" s="83" t="s">
        <v>136</v>
      </c>
      <c r="G25" s="538" t="s">
        <v>137</v>
      </c>
      <c r="H25" s="84"/>
    </row>
    <row r="26" spans="1:8" ht="20.100000000000001" customHeight="1" x14ac:dyDescent="0.3">
      <c r="A26" s="77"/>
      <c r="B26" s="78"/>
      <c r="C26" s="526"/>
      <c r="D26" s="529"/>
      <c r="E26" s="544"/>
      <c r="F26" s="83" t="s">
        <v>138</v>
      </c>
      <c r="G26" s="542"/>
      <c r="H26" s="84"/>
    </row>
    <row r="27" spans="1:8" ht="20.100000000000001" customHeight="1" x14ac:dyDescent="0.3">
      <c r="A27" s="77"/>
      <c r="B27" s="78"/>
      <c r="C27" s="526"/>
      <c r="D27" s="529"/>
      <c r="E27" s="548"/>
      <c r="F27" s="83" t="s">
        <v>62</v>
      </c>
      <c r="G27" s="539"/>
      <c r="H27" s="84"/>
    </row>
    <row r="28" spans="1:8" ht="20.100000000000001" customHeight="1" x14ac:dyDescent="0.3">
      <c r="A28" s="77"/>
      <c r="B28" s="78"/>
      <c r="C28" s="526"/>
      <c r="D28" s="529"/>
      <c r="E28" s="553" t="s">
        <v>139</v>
      </c>
      <c r="F28" s="90" t="s">
        <v>140</v>
      </c>
      <c r="G28" s="538" t="s">
        <v>101</v>
      </c>
      <c r="H28" s="88"/>
    </row>
    <row r="29" spans="1:8" ht="20.100000000000001" customHeight="1" x14ac:dyDescent="0.3">
      <c r="A29" s="77"/>
      <c r="B29" s="78"/>
      <c r="C29" s="526"/>
      <c r="D29" s="529"/>
      <c r="E29" s="551"/>
      <c r="F29" s="83" t="s">
        <v>141</v>
      </c>
      <c r="G29" s="542"/>
      <c r="H29" s="84"/>
    </row>
    <row r="30" spans="1:8" ht="20.100000000000001" customHeight="1" x14ac:dyDescent="0.3">
      <c r="A30" s="77"/>
      <c r="B30" s="78"/>
      <c r="C30" s="526"/>
      <c r="D30" s="529"/>
      <c r="E30" s="552"/>
      <c r="F30" s="93" t="s">
        <v>142</v>
      </c>
      <c r="G30" s="539"/>
      <c r="H30" s="94"/>
    </row>
    <row r="31" spans="1:8" ht="20.100000000000001" customHeight="1" x14ac:dyDescent="0.3">
      <c r="A31" s="77"/>
      <c r="B31" s="78"/>
      <c r="C31" s="526"/>
      <c r="D31" s="529"/>
      <c r="E31" s="555" t="s">
        <v>143</v>
      </c>
      <c r="F31" s="90" t="s">
        <v>144</v>
      </c>
      <c r="G31" s="568" t="s">
        <v>117</v>
      </c>
      <c r="H31" s="88"/>
    </row>
    <row r="32" spans="1:8" ht="20.100000000000001" customHeight="1" x14ac:dyDescent="0.3">
      <c r="A32" s="77"/>
      <c r="B32" s="78"/>
      <c r="C32" s="526"/>
      <c r="D32" s="529"/>
      <c r="E32" s="560"/>
      <c r="F32" s="83" t="s">
        <v>63</v>
      </c>
      <c r="G32" s="569"/>
      <c r="H32" s="84"/>
    </row>
    <row r="33" spans="1:8" ht="20.100000000000001" customHeight="1" x14ac:dyDescent="0.3">
      <c r="A33" s="77"/>
      <c r="B33" s="78"/>
      <c r="C33" s="526"/>
      <c r="D33" s="529"/>
      <c r="E33" s="560"/>
      <c r="F33" s="83" t="s">
        <v>64</v>
      </c>
      <c r="G33" s="569"/>
      <c r="H33" s="138" t="s">
        <v>119</v>
      </c>
    </row>
    <row r="34" spans="1:8" ht="20.100000000000001" customHeight="1" x14ac:dyDescent="0.3">
      <c r="A34" s="77"/>
      <c r="B34" s="78"/>
      <c r="C34" s="526"/>
      <c r="D34" s="529"/>
      <c r="E34" s="560"/>
      <c r="F34" s="83" t="s">
        <v>145</v>
      </c>
      <c r="G34" s="571"/>
      <c r="H34" s="138" t="s">
        <v>146</v>
      </c>
    </row>
    <row r="35" spans="1:8" ht="20.100000000000001" customHeight="1" x14ac:dyDescent="0.3">
      <c r="A35" s="77"/>
      <c r="B35" s="78"/>
      <c r="C35" s="554" t="s">
        <v>117</v>
      </c>
      <c r="D35" s="528" t="s">
        <v>147</v>
      </c>
      <c r="E35" s="554" t="s">
        <v>148</v>
      </c>
      <c r="F35" s="95" t="s">
        <v>149</v>
      </c>
      <c r="G35" s="547" t="s">
        <v>150</v>
      </c>
      <c r="H35" s="96"/>
    </row>
    <row r="36" spans="1:8" ht="20.100000000000001" customHeight="1" x14ac:dyDescent="0.3">
      <c r="A36" s="77"/>
      <c r="B36" s="78"/>
      <c r="C36" s="544"/>
      <c r="D36" s="529"/>
      <c r="E36" s="544"/>
      <c r="F36" s="83" t="s">
        <v>151</v>
      </c>
      <c r="G36" s="542"/>
      <c r="H36" s="138" t="s">
        <v>68</v>
      </c>
    </row>
    <row r="37" spans="1:8" ht="20.100000000000001" customHeight="1" x14ac:dyDescent="0.3">
      <c r="A37" s="77"/>
      <c r="B37" s="78"/>
      <c r="C37" s="544"/>
      <c r="D37" s="529"/>
      <c r="E37" s="544"/>
      <c r="F37" s="91" t="s">
        <v>152</v>
      </c>
      <c r="G37" s="542"/>
      <c r="H37" s="84"/>
    </row>
    <row r="38" spans="1:8" ht="20.100000000000001" customHeight="1" x14ac:dyDescent="0.3">
      <c r="A38" s="77"/>
      <c r="B38" s="78"/>
      <c r="C38" s="544"/>
      <c r="D38" s="529"/>
      <c r="E38" s="544"/>
      <c r="F38" s="83" t="s">
        <v>153</v>
      </c>
      <c r="G38" s="542"/>
      <c r="H38" s="84"/>
    </row>
    <row r="39" spans="1:8" ht="20.100000000000001" customHeight="1" x14ac:dyDescent="0.3">
      <c r="A39" s="77"/>
      <c r="B39" s="78"/>
      <c r="C39" s="544"/>
      <c r="D39" s="529"/>
      <c r="E39" s="544"/>
      <c r="F39" s="83" t="s">
        <v>154</v>
      </c>
      <c r="G39" s="542"/>
      <c r="H39" s="84"/>
    </row>
    <row r="40" spans="1:8" ht="20.100000000000001" customHeight="1" x14ac:dyDescent="0.3">
      <c r="A40" s="77"/>
      <c r="B40" s="78"/>
      <c r="C40" s="544"/>
      <c r="D40" s="529"/>
      <c r="E40" s="548"/>
      <c r="F40" s="93" t="s">
        <v>53</v>
      </c>
      <c r="G40" s="539"/>
      <c r="H40" s="94"/>
    </row>
    <row r="41" spans="1:8" ht="20.100000000000001" customHeight="1" x14ac:dyDescent="0.3">
      <c r="A41" s="77"/>
      <c r="B41" s="78"/>
      <c r="C41" s="544"/>
      <c r="D41" s="529"/>
      <c r="E41" s="543" t="s">
        <v>155</v>
      </c>
      <c r="F41" s="90" t="s">
        <v>156</v>
      </c>
      <c r="G41" s="549" t="s">
        <v>105</v>
      </c>
      <c r="H41" s="88"/>
    </row>
    <row r="42" spans="1:8" ht="20.100000000000001" customHeight="1" x14ac:dyDescent="0.3">
      <c r="A42" s="77"/>
      <c r="B42" s="78"/>
      <c r="C42" s="544"/>
      <c r="D42" s="529"/>
      <c r="E42" s="548"/>
      <c r="F42" s="93" t="s">
        <v>157</v>
      </c>
      <c r="G42" s="550"/>
      <c r="H42" s="94"/>
    </row>
    <row r="43" spans="1:8" ht="20.100000000000001" customHeight="1" x14ac:dyDescent="0.3">
      <c r="A43" s="77"/>
      <c r="B43" s="78"/>
      <c r="C43" s="544"/>
      <c r="D43" s="529"/>
      <c r="E43" s="543" t="s">
        <v>54</v>
      </c>
      <c r="F43" s="90" t="s">
        <v>158</v>
      </c>
      <c r="G43" s="538" t="s">
        <v>159</v>
      </c>
      <c r="H43" s="88"/>
    </row>
    <row r="44" spans="1:8" ht="20.100000000000001" customHeight="1" x14ac:dyDescent="0.3">
      <c r="A44" s="77"/>
      <c r="B44" s="78"/>
      <c r="C44" s="544"/>
      <c r="D44" s="529"/>
      <c r="E44" s="548"/>
      <c r="F44" s="93" t="s">
        <v>160</v>
      </c>
      <c r="G44" s="539"/>
      <c r="H44" s="94"/>
    </row>
    <row r="45" spans="1:8" ht="20.100000000000001" customHeight="1" x14ac:dyDescent="0.3">
      <c r="A45" s="77"/>
      <c r="B45" s="78"/>
      <c r="C45" s="544"/>
      <c r="D45" s="529"/>
      <c r="E45" s="555" t="s">
        <v>161</v>
      </c>
      <c r="F45" s="90" t="s">
        <v>162</v>
      </c>
      <c r="G45" s="538" t="s">
        <v>105</v>
      </c>
      <c r="H45" s="137"/>
    </row>
    <row r="46" spans="1:8" ht="20.100000000000001" customHeight="1" x14ac:dyDescent="0.3">
      <c r="A46" s="77"/>
      <c r="B46" s="78"/>
      <c r="C46" s="544"/>
      <c r="D46" s="529"/>
      <c r="E46" s="556"/>
      <c r="F46" s="93" t="s">
        <v>163</v>
      </c>
      <c r="G46" s="539"/>
      <c r="H46" s="94"/>
    </row>
    <row r="47" spans="1:8" ht="20.100000000000001" customHeight="1" x14ac:dyDescent="0.3">
      <c r="A47" s="77"/>
      <c r="B47" s="78"/>
      <c r="C47" s="544"/>
      <c r="D47" s="529"/>
      <c r="E47" s="97" t="s">
        <v>164</v>
      </c>
      <c r="F47" s="98" t="s">
        <v>165</v>
      </c>
      <c r="G47" s="127"/>
      <c r="H47" s="99"/>
    </row>
    <row r="48" spans="1:8" ht="20.100000000000001" customHeight="1" x14ac:dyDescent="0.3">
      <c r="A48" s="77"/>
      <c r="B48" s="78"/>
      <c r="C48" s="544"/>
      <c r="D48" s="529"/>
      <c r="E48" s="540" t="s">
        <v>166</v>
      </c>
      <c r="F48" s="90" t="s">
        <v>167</v>
      </c>
      <c r="G48" s="538" t="s">
        <v>168</v>
      </c>
      <c r="H48" s="88"/>
    </row>
    <row r="49" spans="1:10" ht="20.100000000000001" customHeight="1" x14ac:dyDescent="0.3">
      <c r="A49" s="77"/>
      <c r="B49" s="78"/>
      <c r="C49" s="544"/>
      <c r="D49" s="529"/>
      <c r="E49" s="541"/>
      <c r="F49" s="83" t="s">
        <v>169</v>
      </c>
      <c r="G49" s="542"/>
      <c r="H49" s="84"/>
    </row>
    <row r="50" spans="1:10" ht="20.100000000000001" customHeight="1" x14ac:dyDescent="0.3">
      <c r="A50" s="77"/>
      <c r="B50" s="78"/>
      <c r="C50" s="544"/>
      <c r="D50" s="529"/>
      <c r="E50" s="541"/>
      <c r="F50" s="93" t="s">
        <v>170</v>
      </c>
      <c r="G50" s="539"/>
      <c r="H50" s="94"/>
    </row>
    <row r="51" spans="1:10" ht="20.100000000000001" customHeight="1" x14ac:dyDescent="0.3">
      <c r="A51" s="77"/>
      <c r="B51" s="78"/>
      <c r="C51" s="544"/>
      <c r="D51" s="529"/>
      <c r="E51" s="543" t="s">
        <v>171</v>
      </c>
      <c r="F51" s="100" t="s">
        <v>172</v>
      </c>
      <c r="G51" s="538" t="s">
        <v>168</v>
      </c>
      <c r="H51" s="138" t="s">
        <v>173</v>
      </c>
    </row>
    <row r="52" spans="1:10" ht="20.100000000000001" customHeight="1" x14ac:dyDescent="0.3">
      <c r="A52" s="77"/>
      <c r="B52" s="78"/>
      <c r="C52" s="544"/>
      <c r="D52" s="529"/>
      <c r="E52" s="544"/>
      <c r="F52" s="101" t="s">
        <v>174</v>
      </c>
      <c r="G52" s="542"/>
      <c r="H52" s="139" t="s">
        <v>173</v>
      </c>
    </row>
    <row r="53" spans="1:10" ht="20.100000000000001" customHeight="1" x14ac:dyDescent="0.3">
      <c r="A53" s="77"/>
      <c r="B53" s="78"/>
      <c r="C53" s="544"/>
      <c r="D53" s="529"/>
      <c r="E53" s="544"/>
      <c r="F53" s="101" t="s">
        <v>55</v>
      </c>
      <c r="G53" s="542"/>
      <c r="H53" s="139" t="s">
        <v>175</v>
      </c>
    </row>
    <row r="54" spans="1:10" ht="20.100000000000001" customHeight="1" x14ac:dyDescent="0.3">
      <c r="A54" s="77"/>
      <c r="B54" s="78"/>
      <c r="C54" s="545"/>
      <c r="D54" s="535"/>
      <c r="E54" s="545"/>
      <c r="F54" s="103" t="s">
        <v>176</v>
      </c>
      <c r="G54" s="546"/>
      <c r="H54" s="140" t="s">
        <v>175</v>
      </c>
    </row>
    <row r="55" spans="1:10" ht="20.100000000000001" customHeight="1" x14ac:dyDescent="0.3">
      <c r="A55" s="77"/>
      <c r="B55" s="78"/>
      <c r="C55" s="525" t="s">
        <v>177</v>
      </c>
      <c r="D55" s="528" t="s">
        <v>178</v>
      </c>
      <c r="E55" s="528" t="s">
        <v>56</v>
      </c>
      <c r="F55" s="104" t="s">
        <v>57</v>
      </c>
      <c r="G55" s="128"/>
      <c r="H55" s="102"/>
    </row>
    <row r="56" spans="1:10" ht="20.100000000000001" customHeight="1" x14ac:dyDescent="0.3">
      <c r="A56" s="77"/>
      <c r="B56" s="78"/>
      <c r="C56" s="526"/>
      <c r="D56" s="529"/>
      <c r="E56" s="529"/>
      <c r="F56" s="105" t="s">
        <v>179</v>
      </c>
      <c r="G56" s="128"/>
      <c r="H56" s="102"/>
    </row>
    <row r="57" spans="1:10" ht="20.100000000000001" customHeight="1" x14ac:dyDescent="0.3">
      <c r="A57" s="77"/>
      <c r="B57" s="78"/>
      <c r="C57" s="526"/>
      <c r="D57" s="529"/>
      <c r="E57" s="529"/>
      <c r="F57" s="105" t="s">
        <v>180</v>
      </c>
      <c r="G57" s="128"/>
      <c r="H57" s="102"/>
    </row>
    <row r="58" spans="1:10" ht="20.100000000000001" customHeight="1" x14ac:dyDescent="0.3">
      <c r="A58" s="77"/>
      <c r="B58" s="78"/>
      <c r="C58" s="526"/>
      <c r="D58" s="529"/>
      <c r="E58" s="529"/>
      <c r="F58" s="105" t="s">
        <v>181</v>
      </c>
      <c r="G58" s="128"/>
      <c r="H58" s="102"/>
    </row>
    <row r="59" spans="1:10" ht="20.100000000000001" customHeight="1" x14ac:dyDescent="0.3">
      <c r="A59" s="77"/>
      <c r="B59" s="78"/>
      <c r="C59" s="526"/>
      <c r="D59" s="529"/>
      <c r="E59" s="529"/>
      <c r="F59" s="105" t="s">
        <v>182</v>
      </c>
      <c r="G59" s="128"/>
      <c r="H59" s="102"/>
    </row>
    <row r="60" spans="1:10" ht="20.100000000000001" customHeight="1" x14ac:dyDescent="0.3">
      <c r="A60" s="77"/>
      <c r="B60" s="78"/>
      <c r="C60" s="526"/>
      <c r="D60" s="529"/>
      <c r="E60" s="529"/>
      <c r="F60" s="105" t="s">
        <v>183</v>
      </c>
      <c r="G60" s="128"/>
      <c r="H60" s="102"/>
    </row>
    <row r="61" spans="1:10" ht="20.100000000000001" customHeight="1" thickBot="1" x14ac:dyDescent="0.35">
      <c r="A61" s="106"/>
      <c r="B61" s="107"/>
      <c r="C61" s="527"/>
      <c r="D61" s="530"/>
      <c r="E61" s="530"/>
      <c r="F61" s="108" t="s">
        <v>58</v>
      </c>
      <c r="G61" s="129"/>
      <c r="H61" s="109"/>
    </row>
    <row r="62" spans="1:10" ht="20.100000000000001" customHeight="1" x14ac:dyDescent="0.3">
      <c r="A62" s="110" t="s">
        <v>184</v>
      </c>
      <c r="B62" s="111"/>
      <c r="C62" s="112"/>
      <c r="D62" s="113"/>
      <c r="E62" s="111"/>
      <c r="F62" s="114"/>
      <c r="G62" s="130"/>
      <c r="H62" s="115"/>
    </row>
    <row r="63" spans="1:10" ht="20.100000000000001" customHeight="1" x14ac:dyDescent="0.3">
      <c r="A63" s="110"/>
      <c r="B63" s="116"/>
      <c r="C63" s="117"/>
      <c r="D63" s="118"/>
      <c r="E63" s="116"/>
      <c r="F63" s="119"/>
      <c r="G63" s="131"/>
      <c r="H63" s="120"/>
    </row>
    <row r="64" spans="1:10" ht="20.100000000000001" customHeight="1" thickBot="1" x14ac:dyDescent="0.35">
      <c r="A64" s="144" t="s">
        <v>185</v>
      </c>
      <c r="B64" s="116"/>
      <c r="C64" s="117"/>
      <c r="D64" s="118"/>
      <c r="E64" s="116"/>
      <c r="F64" s="145"/>
      <c r="G64" s="120"/>
      <c r="H64" s="146"/>
      <c r="J64" s="147"/>
    </row>
    <row r="65" spans="1:8" ht="20.100000000000001" customHeight="1" x14ac:dyDescent="0.3">
      <c r="A65" s="148"/>
      <c r="B65" s="149"/>
      <c r="C65" s="531" t="s">
        <v>186</v>
      </c>
      <c r="D65" s="534" t="s">
        <v>69</v>
      </c>
      <c r="E65" s="534" t="s">
        <v>187</v>
      </c>
      <c r="F65" s="150" t="s">
        <v>188</v>
      </c>
      <c r="G65" s="151"/>
      <c r="H65" s="151"/>
    </row>
    <row r="66" spans="1:8" ht="20.100000000000001" customHeight="1" x14ac:dyDescent="0.3">
      <c r="A66" s="77"/>
      <c r="B66" s="78"/>
      <c r="C66" s="532"/>
      <c r="D66" s="529"/>
      <c r="E66" s="536"/>
      <c r="F66" s="105" t="s">
        <v>189</v>
      </c>
      <c r="G66" s="84"/>
      <c r="H66" s="84"/>
    </row>
    <row r="67" spans="1:8" ht="20.100000000000001" customHeight="1" x14ac:dyDescent="0.3">
      <c r="A67" s="77"/>
      <c r="B67" s="78"/>
      <c r="C67" s="532"/>
      <c r="D67" s="529"/>
      <c r="E67" s="536"/>
      <c r="F67" s="105" t="s">
        <v>180</v>
      </c>
      <c r="G67" s="84"/>
      <c r="H67" s="84"/>
    </row>
    <row r="68" spans="1:8" ht="20.100000000000001" customHeight="1" x14ac:dyDescent="0.3">
      <c r="A68" s="77"/>
      <c r="B68" s="78"/>
      <c r="C68" s="532"/>
      <c r="D68" s="529"/>
      <c r="E68" s="536"/>
      <c r="F68" s="105" t="s">
        <v>181</v>
      </c>
      <c r="G68" s="84"/>
      <c r="H68" s="84"/>
    </row>
    <row r="69" spans="1:8" ht="20.100000000000001" customHeight="1" x14ac:dyDescent="0.3">
      <c r="A69" s="77"/>
      <c r="B69" s="78"/>
      <c r="C69" s="532"/>
      <c r="D69" s="529"/>
      <c r="E69" s="536"/>
      <c r="F69" s="105" t="s">
        <v>190</v>
      </c>
      <c r="G69" s="84"/>
      <c r="H69" s="84"/>
    </row>
    <row r="70" spans="1:8" ht="20.100000000000001" customHeight="1" x14ac:dyDescent="0.3">
      <c r="A70" s="77"/>
      <c r="B70" s="78"/>
      <c r="C70" s="532"/>
      <c r="D70" s="529"/>
      <c r="E70" s="536"/>
      <c r="F70" s="105" t="s">
        <v>191</v>
      </c>
      <c r="G70" s="84"/>
      <c r="H70" s="84"/>
    </row>
    <row r="71" spans="1:8" ht="20.100000000000001" customHeight="1" x14ac:dyDescent="0.3">
      <c r="A71" s="77"/>
      <c r="B71" s="78"/>
      <c r="C71" s="532"/>
      <c r="D71" s="529"/>
      <c r="E71" s="536"/>
      <c r="F71" s="105" t="s">
        <v>58</v>
      </c>
      <c r="G71" s="84"/>
      <c r="H71" s="84"/>
    </row>
    <row r="72" spans="1:8" ht="20.100000000000001" customHeight="1" x14ac:dyDescent="0.3">
      <c r="A72" s="77"/>
      <c r="B72" s="78"/>
      <c r="C72" s="533"/>
      <c r="D72" s="535"/>
      <c r="E72" s="537"/>
      <c r="F72" s="152" t="s">
        <v>192</v>
      </c>
      <c r="G72" s="153"/>
      <c r="H72" s="153"/>
    </row>
    <row r="73" spans="1:8" ht="20.100000000000001" customHeight="1" x14ac:dyDescent="0.3">
      <c r="A73" s="77"/>
      <c r="B73" s="78"/>
      <c r="C73" s="528" t="s">
        <v>70</v>
      </c>
      <c r="D73" s="572" t="s">
        <v>193</v>
      </c>
      <c r="E73" s="529" t="s">
        <v>71</v>
      </c>
      <c r="F73" s="154" t="s">
        <v>194</v>
      </c>
      <c r="G73" s="84"/>
      <c r="H73" s="84"/>
    </row>
    <row r="74" spans="1:8" ht="20.100000000000001" customHeight="1" x14ac:dyDescent="0.3">
      <c r="A74" s="77"/>
      <c r="B74" s="78"/>
      <c r="C74" s="536"/>
      <c r="D74" s="536"/>
      <c r="E74" s="536"/>
      <c r="F74" s="155" t="s">
        <v>84</v>
      </c>
      <c r="G74" s="84"/>
      <c r="H74" s="84"/>
    </row>
    <row r="75" spans="1:8" ht="20.100000000000001" customHeight="1" x14ac:dyDescent="0.3">
      <c r="A75" s="77"/>
      <c r="B75" s="78"/>
      <c r="C75" s="536"/>
      <c r="D75" s="536"/>
      <c r="E75" s="536"/>
      <c r="F75" s="155" t="s">
        <v>72</v>
      </c>
      <c r="G75" s="84"/>
      <c r="H75" s="84"/>
    </row>
    <row r="76" spans="1:8" ht="20.100000000000001" customHeight="1" x14ac:dyDescent="0.3">
      <c r="A76" s="77"/>
      <c r="B76" s="78"/>
      <c r="C76" s="536"/>
      <c r="D76" s="536"/>
      <c r="E76" s="536"/>
      <c r="F76" s="155" t="s">
        <v>195</v>
      </c>
      <c r="G76" s="84"/>
      <c r="H76" s="84"/>
    </row>
    <row r="77" spans="1:8" ht="20.100000000000001" customHeight="1" x14ac:dyDescent="0.3">
      <c r="A77" s="77"/>
      <c r="B77" s="78"/>
      <c r="C77" s="536"/>
      <c r="D77" s="536"/>
      <c r="E77" s="536"/>
      <c r="F77" s="155" t="s">
        <v>73</v>
      </c>
      <c r="G77" s="84"/>
      <c r="H77" s="84"/>
    </row>
    <row r="78" spans="1:8" ht="20.100000000000001" customHeight="1" x14ac:dyDescent="0.3">
      <c r="A78" s="77"/>
      <c r="B78" s="78"/>
      <c r="C78" s="536"/>
      <c r="D78" s="536"/>
      <c r="E78" s="536"/>
      <c r="F78" s="155" t="s">
        <v>196</v>
      </c>
      <c r="G78" s="84"/>
      <c r="H78" s="84"/>
    </row>
    <row r="79" spans="1:8" ht="20.100000000000001" customHeight="1" x14ac:dyDescent="0.3">
      <c r="A79" s="77"/>
      <c r="B79" s="78"/>
      <c r="C79" s="536"/>
      <c r="D79" s="536"/>
      <c r="E79" s="536"/>
      <c r="F79" s="155" t="s">
        <v>74</v>
      </c>
      <c r="G79" s="84"/>
      <c r="H79" s="84"/>
    </row>
    <row r="80" spans="1:8" ht="20.100000000000001" customHeight="1" x14ac:dyDescent="0.3">
      <c r="A80" s="77"/>
      <c r="B80" s="78"/>
      <c r="C80" s="537"/>
      <c r="D80" s="537"/>
      <c r="E80" s="537"/>
      <c r="F80" s="156" t="s">
        <v>75</v>
      </c>
      <c r="G80" s="153"/>
      <c r="H80" s="153"/>
    </row>
    <row r="81" spans="1:8" ht="20.100000000000001" customHeight="1" x14ac:dyDescent="0.3">
      <c r="A81" s="77"/>
      <c r="B81" s="78"/>
      <c r="C81" s="573" t="s">
        <v>197</v>
      </c>
      <c r="D81" s="572" t="s">
        <v>198</v>
      </c>
      <c r="E81" s="574" t="s">
        <v>199</v>
      </c>
      <c r="F81" s="157" t="s">
        <v>200</v>
      </c>
      <c r="G81" s="84"/>
      <c r="H81" s="84"/>
    </row>
    <row r="82" spans="1:8" ht="20.100000000000001" customHeight="1" x14ac:dyDescent="0.3">
      <c r="A82" s="77"/>
      <c r="B82" s="78"/>
      <c r="C82" s="532"/>
      <c r="D82" s="536"/>
      <c r="E82" s="532"/>
      <c r="F82" s="155" t="s">
        <v>201</v>
      </c>
      <c r="G82" s="84"/>
      <c r="H82" s="84"/>
    </row>
    <row r="83" spans="1:8" ht="20.100000000000001" customHeight="1" x14ac:dyDescent="0.3">
      <c r="A83" s="77"/>
      <c r="B83" s="78"/>
      <c r="C83" s="532"/>
      <c r="D83" s="536"/>
      <c r="E83" s="532"/>
      <c r="F83" s="157" t="s">
        <v>77</v>
      </c>
      <c r="G83" s="84"/>
      <c r="H83" s="84"/>
    </row>
    <row r="84" spans="1:8" ht="20.100000000000001" customHeight="1" x14ac:dyDescent="0.3">
      <c r="A84" s="77"/>
      <c r="B84" s="78"/>
      <c r="C84" s="532"/>
      <c r="D84" s="536"/>
      <c r="E84" s="532"/>
      <c r="F84" s="157" t="s">
        <v>202</v>
      </c>
      <c r="G84" s="84"/>
      <c r="H84" s="84"/>
    </row>
    <row r="85" spans="1:8" ht="20.100000000000001" customHeight="1" x14ac:dyDescent="0.3">
      <c r="A85" s="77"/>
      <c r="B85" s="78"/>
      <c r="C85" s="532"/>
      <c r="D85" s="536"/>
      <c r="E85" s="532"/>
      <c r="F85" s="155" t="s">
        <v>74</v>
      </c>
      <c r="G85" s="84"/>
      <c r="H85" s="84"/>
    </row>
    <row r="86" spans="1:8" ht="20.100000000000001" customHeight="1" x14ac:dyDescent="0.3">
      <c r="A86" s="77"/>
      <c r="B86" s="78"/>
      <c r="C86" s="532"/>
      <c r="D86" s="536"/>
      <c r="E86" s="532"/>
      <c r="F86" s="165" t="s">
        <v>78</v>
      </c>
      <c r="G86" s="84"/>
      <c r="H86" s="84"/>
    </row>
    <row r="87" spans="1:8" ht="20.100000000000001" customHeight="1" x14ac:dyDescent="0.3">
      <c r="A87" s="77"/>
      <c r="B87" s="78"/>
      <c r="C87" s="532"/>
      <c r="D87" s="536"/>
      <c r="E87" s="532"/>
      <c r="F87" s="165" t="s">
        <v>203</v>
      </c>
      <c r="G87" s="84"/>
      <c r="H87" s="84"/>
    </row>
    <row r="88" spans="1:8" ht="20.100000000000001" customHeight="1" x14ac:dyDescent="0.3">
      <c r="A88" s="77"/>
      <c r="B88" s="78"/>
      <c r="C88" s="533"/>
      <c r="D88" s="537"/>
      <c r="E88" s="533"/>
      <c r="F88" s="156" t="s">
        <v>79</v>
      </c>
      <c r="G88" s="153"/>
      <c r="H88" s="153"/>
    </row>
    <row r="89" spans="1:8" ht="20.100000000000001" customHeight="1" x14ac:dyDescent="0.3">
      <c r="A89" s="77"/>
      <c r="B89" s="78"/>
      <c r="C89" s="575" t="s">
        <v>204</v>
      </c>
      <c r="D89" s="572" t="s">
        <v>205</v>
      </c>
      <c r="E89" s="573" t="s">
        <v>206</v>
      </c>
      <c r="F89" s="158" t="s">
        <v>207</v>
      </c>
      <c r="G89" s="96"/>
      <c r="H89" s="96"/>
    </row>
    <row r="90" spans="1:8" ht="20.100000000000001" customHeight="1" x14ac:dyDescent="0.3">
      <c r="A90" s="77"/>
      <c r="B90" s="78"/>
      <c r="C90" s="576"/>
      <c r="D90" s="536"/>
      <c r="E90" s="532"/>
      <c r="F90" s="155" t="s">
        <v>76</v>
      </c>
      <c r="G90" s="159"/>
      <c r="H90" s="159"/>
    </row>
    <row r="91" spans="1:8" ht="20.100000000000001" customHeight="1" x14ac:dyDescent="0.3">
      <c r="A91" s="77"/>
      <c r="B91" s="78"/>
      <c r="C91" s="576"/>
      <c r="D91" s="536"/>
      <c r="E91" s="532"/>
      <c r="F91" s="157" t="s">
        <v>208</v>
      </c>
      <c r="G91" s="159"/>
      <c r="H91" s="159"/>
    </row>
    <row r="92" spans="1:8" ht="20.100000000000001" customHeight="1" x14ac:dyDescent="0.3">
      <c r="A92" s="77"/>
      <c r="B92" s="78"/>
      <c r="C92" s="576"/>
      <c r="D92" s="536"/>
      <c r="E92" s="532"/>
      <c r="F92" s="157" t="s">
        <v>209</v>
      </c>
      <c r="G92" s="159"/>
      <c r="H92" s="159"/>
    </row>
    <row r="93" spans="1:8" ht="20.100000000000001" customHeight="1" x14ac:dyDescent="0.3">
      <c r="A93" s="77"/>
      <c r="B93" s="78"/>
      <c r="C93" s="576"/>
      <c r="D93" s="536"/>
      <c r="E93" s="532"/>
      <c r="F93" s="155" t="s">
        <v>74</v>
      </c>
      <c r="G93" s="159"/>
      <c r="H93" s="159"/>
    </row>
    <row r="94" spans="1:8" ht="20.100000000000001" customHeight="1" x14ac:dyDescent="0.3">
      <c r="A94" s="77"/>
      <c r="B94" s="78"/>
      <c r="C94" s="576"/>
      <c r="D94" s="536"/>
      <c r="E94" s="532"/>
      <c r="F94" s="165" t="s">
        <v>85</v>
      </c>
      <c r="G94" s="159"/>
      <c r="H94" s="159"/>
    </row>
    <row r="95" spans="1:8" ht="20.100000000000001" customHeight="1" x14ac:dyDescent="0.3">
      <c r="A95" s="77"/>
      <c r="B95" s="78"/>
      <c r="C95" s="576"/>
      <c r="D95" s="536"/>
      <c r="E95" s="533"/>
      <c r="F95" s="156" t="s">
        <v>210</v>
      </c>
      <c r="G95" s="160"/>
      <c r="H95" s="160"/>
    </row>
    <row r="96" spans="1:8" ht="20.100000000000001" customHeight="1" x14ac:dyDescent="0.3">
      <c r="A96" s="77"/>
      <c r="B96" s="78"/>
      <c r="C96" s="528" t="s">
        <v>211</v>
      </c>
      <c r="D96" s="572" t="s">
        <v>205</v>
      </c>
      <c r="E96" s="529" t="s">
        <v>212</v>
      </c>
      <c r="F96" s="154" t="s">
        <v>213</v>
      </c>
      <c r="G96" s="159"/>
      <c r="H96" s="159"/>
    </row>
    <row r="97" spans="1:8" ht="20.100000000000001" customHeight="1" x14ac:dyDescent="0.3">
      <c r="A97" s="77"/>
      <c r="B97" s="78"/>
      <c r="C97" s="536"/>
      <c r="D97" s="536"/>
      <c r="E97" s="536"/>
      <c r="F97" s="155" t="s">
        <v>214</v>
      </c>
      <c r="G97" s="159"/>
      <c r="H97" s="159"/>
    </row>
    <row r="98" spans="1:8" ht="20.100000000000001" customHeight="1" x14ac:dyDescent="0.3">
      <c r="A98" s="77"/>
      <c r="B98" s="78"/>
      <c r="C98" s="536"/>
      <c r="D98" s="536"/>
      <c r="E98" s="536"/>
      <c r="F98" s="155" t="s">
        <v>215</v>
      </c>
      <c r="G98" s="159"/>
      <c r="H98" s="159"/>
    </row>
    <row r="99" spans="1:8" ht="20.100000000000001" customHeight="1" x14ac:dyDescent="0.3">
      <c r="A99" s="77"/>
      <c r="B99" s="78"/>
      <c r="C99" s="536"/>
      <c r="D99" s="536"/>
      <c r="E99" s="536"/>
      <c r="F99" s="157" t="s">
        <v>80</v>
      </c>
      <c r="G99" s="159"/>
      <c r="H99" s="159"/>
    </row>
    <row r="100" spans="1:8" ht="20.100000000000001" customHeight="1" x14ac:dyDescent="0.3">
      <c r="A100" s="77"/>
      <c r="B100" s="78"/>
      <c r="C100" s="536"/>
      <c r="D100" s="536"/>
      <c r="E100" s="536"/>
      <c r="F100" s="157" t="s">
        <v>216</v>
      </c>
      <c r="G100" s="159"/>
      <c r="H100" s="159"/>
    </row>
    <row r="101" spans="1:8" ht="20.100000000000001" customHeight="1" x14ac:dyDescent="0.3">
      <c r="A101" s="77"/>
      <c r="B101" s="78"/>
      <c r="C101" s="536"/>
      <c r="D101" s="536"/>
      <c r="E101" s="536"/>
      <c r="F101" s="157" t="s">
        <v>81</v>
      </c>
      <c r="G101" s="159"/>
      <c r="H101" s="159"/>
    </row>
    <row r="102" spans="1:8" ht="20.100000000000001" customHeight="1" x14ac:dyDescent="0.3">
      <c r="A102" s="77"/>
      <c r="B102" s="78"/>
      <c r="C102" s="537"/>
      <c r="D102" s="537"/>
      <c r="E102" s="537"/>
      <c r="F102" s="161" t="s">
        <v>217</v>
      </c>
      <c r="G102" s="160"/>
      <c r="H102" s="160"/>
    </row>
    <row r="103" spans="1:8" ht="20.100000000000001" customHeight="1" x14ac:dyDescent="0.3">
      <c r="A103" s="77"/>
      <c r="B103" s="78"/>
      <c r="C103" s="528" t="s">
        <v>82</v>
      </c>
      <c r="D103" s="572" t="s">
        <v>218</v>
      </c>
      <c r="E103" s="574" t="s">
        <v>219</v>
      </c>
      <c r="F103" s="157" t="s">
        <v>220</v>
      </c>
      <c r="G103" s="542"/>
      <c r="H103" s="542"/>
    </row>
    <row r="104" spans="1:8" ht="20.100000000000001" customHeight="1" x14ac:dyDescent="0.3">
      <c r="A104" s="77"/>
      <c r="B104" s="78"/>
      <c r="C104" s="536"/>
      <c r="D104" s="536"/>
      <c r="E104" s="532"/>
      <c r="F104" s="155" t="s">
        <v>221</v>
      </c>
      <c r="G104" s="542"/>
      <c r="H104" s="542"/>
    </row>
    <row r="105" spans="1:8" ht="20.100000000000001" customHeight="1" x14ac:dyDescent="0.3">
      <c r="A105" s="77"/>
      <c r="B105" s="78"/>
      <c r="C105" s="536"/>
      <c r="D105" s="536"/>
      <c r="E105" s="532"/>
      <c r="F105" s="157" t="s">
        <v>222</v>
      </c>
      <c r="G105" s="542"/>
      <c r="H105" s="542"/>
    </row>
    <row r="106" spans="1:8" ht="20.100000000000001" customHeight="1" x14ac:dyDescent="0.3">
      <c r="A106" s="77"/>
      <c r="B106" s="78"/>
      <c r="C106" s="536"/>
      <c r="D106" s="536"/>
      <c r="E106" s="532"/>
      <c r="F106" s="157" t="s">
        <v>223</v>
      </c>
      <c r="G106" s="542"/>
      <c r="H106" s="542"/>
    </row>
    <row r="107" spans="1:8" ht="20.100000000000001" customHeight="1" x14ac:dyDescent="0.3">
      <c r="A107" s="77"/>
      <c r="B107" s="78"/>
      <c r="C107" s="536"/>
      <c r="D107" s="536"/>
      <c r="E107" s="532"/>
      <c r="F107" s="157" t="s">
        <v>224</v>
      </c>
      <c r="G107" s="542"/>
      <c r="H107" s="542"/>
    </row>
    <row r="108" spans="1:8" ht="20.100000000000001" customHeight="1" x14ac:dyDescent="0.3">
      <c r="A108" s="77"/>
      <c r="B108" s="78"/>
      <c r="C108" s="537"/>
      <c r="D108" s="537"/>
      <c r="E108" s="533"/>
      <c r="F108" s="162" t="s">
        <v>225</v>
      </c>
      <c r="G108" s="546"/>
      <c r="H108" s="546"/>
    </row>
    <row r="109" spans="1:8" ht="20.100000000000001" customHeight="1" x14ac:dyDescent="0.3">
      <c r="A109" s="77"/>
      <c r="B109" s="78"/>
      <c r="C109" s="528" t="s">
        <v>226</v>
      </c>
      <c r="D109" s="572" t="s">
        <v>69</v>
      </c>
      <c r="E109" s="573" t="s">
        <v>83</v>
      </c>
      <c r="F109" s="157" t="s">
        <v>227</v>
      </c>
      <c r="G109" s="542"/>
      <c r="H109" s="542"/>
    </row>
    <row r="110" spans="1:8" ht="20.100000000000001" customHeight="1" x14ac:dyDescent="0.3">
      <c r="A110" s="77"/>
      <c r="B110" s="78"/>
      <c r="C110" s="536"/>
      <c r="D110" s="536"/>
      <c r="E110" s="532"/>
      <c r="F110" s="155" t="s">
        <v>228</v>
      </c>
      <c r="G110" s="542"/>
      <c r="H110" s="542"/>
    </row>
    <row r="111" spans="1:8" ht="20.100000000000001" customHeight="1" x14ac:dyDescent="0.3">
      <c r="A111" s="77"/>
      <c r="B111" s="78"/>
      <c r="C111" s="536"/>
      <c r="D111" s="536"/>
      <c r="E111" s="532"/>
      <c r="F111" s="157" t="s">
        <v>229</v>
      </c>
      <c r="G111" s="542"/>
      <c r="H111" s="542"/>
    </row>
    <row r="112" spans="1:8" ht="20.100000000000001" customHeight="1" x14ac:dyDescent="0.3">
      <c r="A112" s="77"/>
      <c r="B112" s="78"/>
      <c r="C112" s="536"/>
      <c r="D112" s="536"/>
      <c r="E112" s="532"/>
      <c r="F112" s="157" t="s">
        <v>223</v>
      </c>
      <c r="G112" s="542"/>
      <c r="H112" s="542"/>
    </row>
    <row r="113" spans="1:8" ht="20.100000000000001" customHeight="1" x14ac:dyDescent="0.3">
      <c r="A113" s="77"/>
      <c r="B113" s="78"/>
      <c r="C113" s="536"/>
      <c r="D113" s="536"/>
      <c r="E113" s="532"/>
      <c r="F113" s="157" t="s">
        <v>224</v>
      </c>
      <c r="G113" s="542"/>
      <c r="H113" s="542"/>
    </row>
    <row r="114" spans="1:8" ht="20.100000000000001" customHeight="1" x14ac:dyDescent="0.3">
      <c r="A114" s="77"/>
      <c r="B114" s="78"/>
      <c r="C114" s="536"/>
      <c r="D114" s="536"/>
      <c r="E114" s="532"/>
      <c r="F114" s="157" t="s">
        <v>225</v>
      </c>
      <c r="G114" s="542"/>
      <c r="H114" s="542"/>
    </row>
    <row r="115" spans="1:8" ht="20.100000000000001" customHeight="1" thickBot="1" x14ac:dyDescent="0.35">
      <c r="A115" s="106"/>
      <c r="B115" s="107"/>
      <c r="C115" s="577"/>
      <c r="D115" s="577"/>
      <c r="E115" s="578"/>
      <c r="F115" s="163" t="s">
        <v>230</v>
      </c>
      <c r="G115" s="579"/>
      <c r="H115" s="579"/>
    </row>
    <row r="116" spans="1:8" ht="28.5" customHeight="1" x14ac:dyDescent="0.3">
      <c r="A116" s="164"/>
      <c r="F116" s="123"/>
      <c r="G116" s="123"/>
    </row>
    <row r="117" spans="1:8" ht="20.100000000000001" customHeight="1" x14ac:dyDescent="0.3">
      <c r="A117" s="121"/>
      <c r="B117" s="116"/>
      <c r="C117" s="117"/>
      <c r="D117" s="118"/>
      <c r="E117" s="116"/>
      <c r="F117" s="119"/>
      <c r="G117" s="131"/>
      <c r="H117" s="120"/>
    </row>
    <row r="118" spans="1:8" ht="17.25" x14ac:dyDescent="0.3">
      <c r="F118" s="123"/>
    </row>
    <row r="119" spans="1:8" ht="17.25" x14ac:dyDescent="0.3">
      <c r="F119" s="123"/>
    </row>
    <row r="120" spans="1:8" ht="17.25" x14ac:dyDescent="0.3">
      <c r="F120" s="123"/>
    </row>
    <row r="121" spans="1:8" ht="17.25" x14ac:dyDescent="0.3">
      <c r="F121" s="123"/>
    </row>
    <row r="122" spans="1:8" ht="17.25" x14ac:dyDescent="0.3">
      <c r="F122" s="123"/>
    </row>
    <row r="123" spans="1:8" ht="17.25" x14ac:dyDescent="0.3">
      <c r="F123" s="123"/>
    </row>
    <row r="124" spans="1:8" ht="17.25" x14ac:dyDescent="0.3">
      <c r="F124" s="123"/>
    </row>
    <row r="125" spans="1:8" ht="17.25" x14ac:dyDescent="0.3">
      <c r="F125" s="123"/>
    </row>
    <row r="126" spans="1:8" ht="17.25" x14ac:dyDescent="0.3">
      <c r="F126" s="123"/>
    </row>
    <row r="127" spans="1:8" ht="17.25" x14ac:dyDescent="0.3">
      <c r="F127" s="123"/>
    </row>
    <row r="128" spans="1:8" ht="17.25" x14ac:dyDescent="0.3">
      <c r="F128" s="123"/>
    </row>
    <row r="129" spans="6:6" ht="17.25" x14ac:dyDescent="0.3">
      <c r="F129" s="123"/>
    </row>
    <row r="130" spans="6:6" ht="17.25" x14ac:dyDescent="0.3">
      <c r="F130" s="123"/>
    </row>
    <row r="131" spans="6:6" ht="17.25" x14ac:dyDescent="0.3">
      <c r="F131" s="123"/>
    </row>
    <row r="132" spans="6:6" ht="17.25" x14ac:dyDescent="0.3">
      <c r="F132" s="123"/>
    </row>
    <row r="133" spans="6:6" ht="17.25" x14ac:dyDescent="0.3">
      <c r="F133" s="123"/>
    </row>
    <row r="134" spans="6:6" ht="17.25" x14ac:dyDescent="0.3">
      <c r="F134" s="123"/>
    </row>
    <row r="135" spans="6:6" ht="17.25" x14ac:dyDescent="0.3">
      <c r="F135" s="123"/>
    </row>
    <row r="136" spans="6:6" ht="17.25" x14ac:dyDescent="0.3">
      <c r="F136" s="123"/>
    </row>
    <row r="137" spans="6:6" ht="17.25" x14ac:dyDescent="0.3">
      <c r="F137" s="123"/>
    </row>
    <row r="138" spans="6:6" ht="17.25" x14ac:dyDescent="0.3">
      <c r="F138" s="123"/>
    </row>
    <row r="139" spans="6:6" ht="17.25" x14ac:dyDescent="0.3">
      <c r="F139" s="123"/>
    </row>
    <row r="140" spans="6:6" ht="17.25" x14ac:dyDescent="0.3">
      <c r="F140" s="123"/>
    </row>
    <row r="141" spans="6:6" ht="17.25" x14ac:dyDescent="0.3">
      <c r="F141" s="123"/>
    </row>
    <row r="142" spans="6:6" ht="17.25" x14ac:dyDescent="0.3">
      <c r="F142" s="123"/>
    </row>
    <row r="143" spans="6:6" ht="17.25" x14ac:dyDescent="0.3">
      <c r="F143" s="123"/>
    </row>
    <row r="144" spans="6:6" ht="17.25" x14ac:dyDescent="0.3">
      <c r="F144" s="123"/>
    </row>
    <row r="145" spans="6:6" ht="17.25" x14ac:dyDescent="0.3">
      <c r="F145" s="123"/>
    </row>
    <row r="146" spans="6:6" ht="17.25" x14ac:dyDescent="0.3">
      <c r="F146" s="123"/>
    </row>
    <row r="147" spans="6:6" ht="17.25" x14ac:dyDescent="0.3">
      <c r="F147" s="123"/>
    </row>
    <row r="148" spans="6:6" ht="17.25" x14ac:dyDescent="0.3">
      <c r="F148" s="123"/>
    </row>
    <row r="149" spans="6:6" ht="17.25" x14ac:dyDescent="0.3">
      <c r="F149" s="123"/>
    </row>
    <row r="150" spans="6:6" ht="17.25" x14ac:dyDescent="0.3">
      <c r="F150" s="123"/>
    </row>
    <row r="151" spans="6:6" ht="17.25" x14ac:dyDescent="0.3">
      <c r="F151" s="123"/>
    </row>
    <row r="152" spans="6:6" ht="17.25" x14ac:dyDescent="0.3">
      <c r="F152" s="123"/>
    </row>
    <row r="153" spans="6:6" ht="17.25" x14ac:dyDescent="0.3">
      <c r="F153" s="123"/>
    </row>
    <row r="154" spans="6:6" ht="17.25" x14ac:dyDescent="0.3">
      <c r="F154" s="123"/>
    </row>
    <row r="155" spans="6:6" ht="17.25" x14ac:dyDescent="0.3">
      <c r="F155" s="123"/>
    </row>
    <row r="156" spans="6:6" ht="17.25" x14ac:dyDescent="0.3">
      <c r="F156" s="123"/>
    </row>
    <row r="157" spans="6:6" ht="17.25" x14ac:dyDescent="0.3">
      <c r="F157" s="123"/>
    </row>
    <row r="158" spans="6:6" ht="17.25" x14ac:dyDescent="0.3">
      <c r="F158" s="123"/>
    </row>
    <row r="159" spans="6:6" ht="17.25" x14ac:dyDescent="0.3">
      <c r="F159" s="123"/>
    </row>
    <row r="160" spans="6:6" ht="17.25" x14ac:dyDescent="0.3">
      <c r="F160" s="123"/>
    </row>
    <row r="161" spans="6:6" ht="17.25" x14ac:dyDescent="0.3">
      <c r="F161" s="123"/>
    </row>
    <row r="162" spans="6:6" ht="17.25" x14ac:dyDescent="0.3">
      <c r="F162" s="123"/>
    </row>
    <row r="163" spans="6:6" ht="17.25" x14ac:dyDescent="0.3">
      <c r="F163" s="123"/>
    </row>
    <row r="164" spans="6:6" ht="17.25" x14ac:dyDescent="0.3">
      <c r="F164" s="123"/>
    </row>
    <row r="165" spans="6:6" ht="17.25" x14ac:dyDescent="0.3">
      <c r="F165" s="123"/>
    </row>
    <row r="166" spans="6:6" ht="17.25" x14ac:dyDescent="0.3">
      <c r="F166" s="123"/>
    </row>
    <row r="167" spans="6:6" ht="17.25" x14ac:dyDescent="0.3">
      <c r="F167" s="123"/>
    </row>
    <row r="168" spans="6:6" ht="17.25" x14ac:dyDescent="0.3">
      <c r="F168" s="123"/>
    </row>
    <row r="169" spans="6:6" ht="17.25" x14ac:dyDescent="0.3">
      <c r="F169" s="123"/>
    </row>
    <row r="170" spans="6:6" ht="17.25" x14ac:dyDescent="0.3">
      <c r="F170" s="123"/>
    </row>
    <row r="171" spans="6:6" ht="17.25" x14ac:dyDescent="0.3">
      <c r="F171" s="123"/>
    </row>
    <row r="172" spans="6:6" ht="17.25" x14ac:dyDescent="0.3">
      <c r="F172" s="123"/>
    </row>
    <row r="173" spans="6:6" ht="17.25" x14ac:dyDescent="0.3">
      <c r="F173" s="123"/>
    </row>
    <row r="174" spans="6:6" ht="17.25" x14ac:dyDescent="0.3">
      <c r="F174" s="123"/>
    </row>
    <row r="175" spans="6:6" ht="17.25" x14ac:dyDescent="0.3">
      <c r="F175" s="123"/>
    </row>
    <row r="176" spans="6:6" ht="17.25" x14ac:dyDescent="0.3">
      <c r="F176" s="123"/>
    </row>
    <row r="177" spans="6:6" ht="17.25" x14ac:dyDescent="0.3">
      <c r="F177" s="123"/>
    </row>
    <row r="178" spans="6:6" ht="17.25" x14ac:dyDescent="0.3">
      <c r="F178" s="123"/>
    </row>
    <row r="179" spans="6:6" ht="17.25" x14ac:dyDescent="0.3">
      <c r="F179" s="123"/>
    </row>
    <row r="180" spans="6:6" ht="17.25" x14ac:dyDescent="0.3">
      <c r="F180" s="123"/>
    </row>
    <row r="181" spans="6:6" ht="17.25" x14ac:dyDescent="0.3">
      <c r="F181" s="123"/>
    </row>
    <row r="182" spans="6:6" ht="17.25" x14ac:dyDescent="0.3">
      <c r="F182" s="123"/>
    </row>
    <row r="183" spans="6:6" ht="17.25" x14ac:dyDescent="0.3">
      <c r="F183" s="123"/>
    </row>
    <row r="184" spans="6:6" ht="17.25" x14ac:dyDescent="0.3">
      <c r="F184" s="123"/>
    </row>
    <row r="185" spans="6:6" ht="17.25" x14ac:dyDescent="0.3">
      <c r="F185" s="123"/>
    </row>
    <row r="186" spans="6:6" ht="17.25" x14ac:dyDescent="0.3">
      <c r="F186" s="123"/>
    </row>
    <row r="187" spans="6:6" ht="17.25" x14ac:dyDescent="0.3">
      <c r="F187" s="123"/>
    </row>
    <row r="188" spans="6:6" ht="17.25" x14ac:dyDescent="0.3">
      <c r="F188" s="123"/>
    </row>
    <row r="189" spans="6:6" ht="17.25" x14ac:dyDescent="0.3">
      <c r="F189" s="123"/>
    </row>
    <row r="190" spans="6:6" ht="17.25" x14ac:dyDescent="0.3">
      <c r="F190" s="123"/>
    </row>
    <row r="191" spans="6:6" ht="17.25" x14ac:dyDescent="0.3">
      <c r="F191" s="123"/>
    </row>
    <row r="192" spans="6:6" ht="17.25" x14ac:dyDescent="0.3">
      <c r="F192" s="123"/>
    </row>
    <row r="193" spans="6:6" ht="17.25" x14ac:dyDescent="0.3">
      <c r="F193" s="123"/>
    </row>
    <row r="194" spans="6:6" ht="17.25" x14ac:dyDescent="0.3">
      <c r="F194" s="123"/>
    </row>
    <row r="195" spans="6:6" ht="17.25" x14ac:dyDescent="0.3">
      <c r="F195" s="123"/>
    </row>
    <row r="196" spans="6:6" ht="17.25" x14ac:dyDescent="0.3">
      <c r="F196" s="123"/>
    </row>
    <row r="197" spans="6:6" ht="17.25" x14ac:dyDescent="0.3">
      <c r="F197" s="123"/>
    </row>
    <row r="198" spans="6:6" ht="17.25" x14ac:dyDescent="0.3">
      <c r="F198" s="123"/>
    </row>
    <row r="199" spans="6:6" ht="17.25" x14ac:dyDescent="0.3">
      <c r="F199" s="123"/>
    </row>
    <row r="200" spans="6:6" ht="17.25" x14ac:dyDescent="0.3">
      <c r="F200" s="123"/>
    </row>
    <row r="201" spans="6:6" ht="17.25" x14ac:dyDescent="0.3">
      <c r="F201" s="123"/>
    </row>
    <row r="202" spans="6:6" ht="17.25" x14ac:dyDescent="0.3">
      <c r="F202" s="123"/>
    </row>
    <row r="203" spans="6:6" ht="17.25" x14ac:dyDescent="0.3">
      <c r="F203" s="123"/>
    </row>
    <row r="204" spans="6:6" ht="17.25" x14ac:dyDescent="0.3">
      <c r="F204" s="123"/>
    </row>
    <row r="205" spans="6:6" ht="17.25" x14ac:dyDescent="0.3">
      <c r="F205" s="123"/>
    </row>
    <row r="206" spans="6:6" ht="17.25" x14ac:dyDescent="0.3">
      <c r="F206" s="123"/>
    </row>
    <row r="207" spans="6:6" ht="17.25" x14ac:dyDescent="0.3">
      <c r="F207" s="123"/>
    </row>
    <row r="208" spans="6:6" ht="17.25" x14ac:dyDescent="0.3">
      <c r="F208" s="123"/>
    </row>
    <row r="209" spans="6:6" ht="17.25" x14ac:dyDescent="0.3">
      <c r="F209" s="123"/>
    </row>
    <row r="210" spans="6:6" ht="17.25" x14ac:dyDescent="0.3">
      <c r="F210" s="123"/>
    </row>
    <row r="211" spans="6:6" ht="17.25" x14ac:dyDescent="0.3">
      <c r="F211" s="123"/>
    </row>
    <row r="212" spans="6:6" ht="17.25" x14ac:dyDescent="0.3">
      <c r="F212" s="123"/>
    </row>
    <row r="213" spans="6:6" ht="17.25" x14ac:dyDescent="0.3">
      <c r="F213" s="123"/>
    </row>
    <row r="214" spans="6:6" ht="17.25" x14ac:dyDescent="0.3">
      <c r="F214" s="123"/>
    </row>
    <row r="215" spans="6:6" ht="17.25" x14ac:dyDescent="0.3">
      <c r="F215" s="123"/>
    </row>
    <row r="216" spans="6:6" ht="17.25" x14ac:dyDescent="0.3">
      <c r="F216" s="123"/>
    </row>
    <row r="217" spans="6:6" ht="17.25" x14ac:dyDescent="0.3">
      <c r="F217" s="123"/>
    </row>
    <row r="218" spans="6:6" ht="17.25" x14ac:dyDescent="0.3">
      <c r="F218" s="123"/>
    </row>
    <row r="219" spans="6:6" ht="17.25" x14ac:dyDescent="0.3">
      <c r="F219" s="123"/>
    </row>
    <row r="220" spans="6:6" ht="17.25" x14ac:dyDescent="0.3">
      <c r="F220" s="123"/>
    </row>
    <row r="221" spans="6:6" ht="17.25" x14ac:dyDescent="0.3">
      <c r="F221" s="123"/>
    </row>
    <row r="222" spans="6:6" ht="17.25" x14ac:dyDescent="0.3">
      <c r="F222" s="123"/>
    </row>
    <row r="223" spans="6:6" ht="17.25" x14ac:dyDescent="0.3">
      <c r="F223" s="123"/>
    </row>
    <row r="224" spans="6:6" ht="17.25" x14ac:dyDescent="0.3">
      <c r="F224" s="123"/>
    </row>
    <row r="225" spans="6:6" ht="17.25" x14ac:dyDescent="0.3">
      <c r="F225" s="123"/>
    </row>
    <row r="226" spans="6:6" ht="17.25" x14ac:dyDescent="0.3">
      <c r="F226" s="123"/>
    </row>
    <row r="227" spans="6:6" ht="17.25" x14ac:dyDescent="0.3">
      <c r="F227" s="123"/>
    </row>
    <row r="228" spans="6:6" ht="17.25" x14ac:dyDescent="0.3">
      <c r="F228" s="123"/>
    </row>
    <row r="229" spans="6:6" ht="17.25" x14ac:dyDescent="0.3">
      <c r="F229" s="123"/>
    </row>
    <row r="230" spans="6:6" ht="17.25" x14ac:dyDescent="0.3">
      <c r="F230" s="123"/>
    </row>
    <row r="231" spans="6:6" ht="17.25" x14ac:dyDescent="0.3">
      <c r="F231" s="123"/>
    </row>
    <row r="232" spans="6:6" ht="17.25" x14ac:dyDescent="0.3">
      <c r="F232" s="123"/>
    </row>
    <row r="233" spans="6:6" ht="17.25" x14ac:dyDescent="0.3">
      <c r="F233" s="123"/>
    </row>
    <row r="234" spans="6:6" ht="17.25" x14ac:dyDescent="0.3">
      <c r="F234" s="123"/>
    </row>
    <row r="235" spans="6:6" ht="17.25" x14ac:dyDescent="0.3">
      <c r="F235" s="123"/>
    </row>
    <row r="236" spans="6:6" ht="17.25" x14ac:dyDescent="0.3">
      <c r="F236" s="123"/>
    </row>
    <row r="237" spans="6:6" ht="17.25" x14ac:dyDescent="0.3">
      <c r="F237" s="123"/>
    </row>
    <row r="238" spans="6:6" ht="17.25" x14ac:dyDescent="0.3">
      <c r="F238" s="123"/>
    </row>
    <row r="239" spans="6:6" ht="17.25" x14ac:dyDescent="0.3">
      <c r="F239" s="123"/>
    </row>
    <row r="240" spans="6:6" ht="17.25" x14ac:dyDescent="0.3">
      <c r="F240" s="123"/>
    </row>
    <row r="241" spans="6:6" ht="17.25" x14ac:dyDescent="0.3">
      <c r="F241" s="123"/>
    </row>
    <row r="242" spans="6:6" ht="17.25" x14ac:dyDescent="0.3">
      <c r="F242" s="123"/>
    </row>
    <row r="243" spans="6:6" ht="17.25" x14ac:dyDescent="0.3">
      <c r="F243" s="123"/>
    </row>
    <row r="244" spans="6:6" ht="17.25" x14ac:dyDescent="0.3">
      <c r="F244" s="123"/>
    </row>
    <row r="245" spans="6:6" ht="17.25" x14ac:dyDescent="0.3">
      <c r="F245" s="123"/>
    </row>
    <row r="246" spans="6:6" ht="17.25" x14ac:dyDescent="0.3">
      <c r="F246" s="123"/>
    </row>
    <row r="247" spans="6:6" ht="17.25" x14ac:dyDescent="0.3">
      <c r="F247" s="123"/>
    </row>
    <row r="248" spans="6:6" ht="17.25" x14ac:dyDescent="0.3">
      <c r="F248" s="123"/>
    </row>
    <row r="249" spans="6:6" ht="17.25" x14ac:dyDescent="0.3">
      <c r="F249" s="123"/>
    </row>
    <row r="250" spans="6:6" ht="17.25" x14ac:dyDescent="0.3">
      <c r="F250" s="123"/>
    </row>
    <row r="251" spans="6:6" ht="17.25" x14ac:dyDescent="0.3">
      <c r="F251" s="123"/>
    </row>
    <row r="252" spans="6:6" ht="17.25" x14ac:dyDescent="0.3">
      <c r="F252" s="123"/>
    </row>
    <row r="253" spans="6:6" ht="17.25" x14ac:dyDescent="0.3">
      <c r="F253" s="123"/>
    </row>
    <row r="254" spans="6:6" ht="17.25" x14ac:dyDescent="0.3">
      <c r="F254" s="123"/>
    </row>
    <row r="255" spans="6:6" ht="17.25" x14ac:dyDescent="0.3">
      <c r="F255" s="123"/>
    </row>
    <row r="256" spans="6:6" ht="17.25" x14ac:dyDescent="0.3">
      <c r="F256" s="123"/>
    </row>
    <row r="257" spans="6:6" ht="17.25" x14ac:dyDescent="0.3">
      <c r="F257" s="123"/>
    </row>
    <row r="258" spans="6:6" ht="17.25" x14ac:dyDescent="0.3">
      <c r="F258" s="123"/>
    </row>
    <row r="259" spans="6:6" ht="17.25" x14ac:dyDescent="0.3">
      <c r="F259" s="123"/>
    </row>
    <row r="260" spans="6:6" ht="17.25" x14ac:dyDescent="0.3">
      <c r="F260" s="123"/>
    </row>
    <row r="261" spans="6:6" ht="17.25" x14ac:dyDescent="0.3">
      <c r="F261" s="123"/>
    </row>
    <row r="262" spans="6:6" ht="17.25" x14ac:dyDescent="0.3">
      <c r="F262" s="123"/>
    </row>
    <row r="263" spans="6:6" ht="17.25" x14ac:dyDescent="0.3">
      <c r="F263" s="123"/>
    </row>
    <row r="264" spans="6:6" ht="17.25" x14ac:dyDescent="0.3">
      <c r="F264" s="123"/>
    </row>
    <row r="265" spans="6:6" ht="17.25" x14ac:dyDescent="0.3">
      <c r="F265" s="123"/>
    </row>
    <row r="266" spans="6:6" ht="17.25" x14ac:dyDescent="0.3">
      <c r="F266" s="123"/>
    </row>
    <row r="267" spans="6:6" ht="17.25" x14ac:dyDescent="0.3">
      <c r="F267" s="123"/>
    </row>
    <row r="268" spans="6:6" ht="17.25" x14ac:dyDescent="0.3">
      <c r="F268" s="123"/>
    </row>
    <row r="269" spans="6:6" ht="17.25" x14ac:dyDescent="0.3">
      <c r="F269" s="123"/>
    </row>
    <row r="270" spans="6:6" ht="17.25" x14ac:dyDescent="0.3">
      <c r="F270" s="123"/>
    </row>
    <row r="271" spans="6:6" ht="17.25" x14ac:dyDescent="0.3">
      <c r="F271" s="123"/>
    </row>
    <row r="272" spans="6:6" ht="17.25" x14ac:dyDescent="0.3">
      <c r="F272" s="123"/>
    </row>
    <row r="273" spans="6:6" ht="17.25" x14ac:dyDescent="0.3">
      <c r="F273" s="123"/>
    </row>
    <row r="274" spans="6:6" ht="17.25" x14ac:dyDescent="0.3">
      <c r="F274" s="123"/>
    </row>
    <row r="275" spans="6:6" ht="17.25" x14ac:dyDescent="0.3">
      <c r="F275" s="123"/>
    </row>
    <row r="276" spans="6:6" ht="17.25" x14ac:dyDescent="0.3">
      <c r="F276" s="123"/>
    </row>
    <row r="277" spans="6:6" ht="17.25" x14ac:dyDescent="0.3">
      <c r="F277" s="123"/>
    </row>
    <row r="278" spans="6:6" ht="17.25" x14ac:dyDescent="0.3">
      <c r="F278" s="123"/>
    </row>
    <row r="279" spans="6:6" ht="17.25" x14ac:dyDescent="0.3">
      <c r="F279" s="123"/>
    </row>
    <row r="280" spans="6:6" ht="17.25" x14ac:dyDescent="0.3">
      <c r="F280" s="123"/>
    </row>
    <row r="281" spans="6:6" ht="17.25" x14ac:dyDescent="0.3">
      <c r="F281" s="123"/>
    </row>
  </sheetData>
  <mergeCells count="62">
    <mergeCell ref="C109:C115"/>
    <mergeCell ref="D109:D115"/>
    <mergeCell ref="E109:E115"/>
    <mergeCell ref="G109:G115"/>
    <mergeCell ref="H109:H115"/>
    <mergeCell ref="C103:C108"/>
    <mergeCell ref="D103:D108"/>
    <mergeCell ref="E103:E108"/>
    <mergeCell ref="G103:G108"/>
    <mergeCell ref="H103:H108"/>
    <mergeCell ref="C89:C95"/>
    <mergeCell ref="D89:D95"/>
    <mergeCell ref="E89:E95"/>
    <mergeCell ref="C96:C102"/>
    <mergeCell ref="D96:D102"/>
    <mergeCell ref="E96:E102"/>
    <mergeCell ref="C73:C80"/>
    <mergeCell ref="D73:D80"/>
    <mergeCell ref="E73:E80"/>
    <mergeCell ref="C81:C88"/>
    <mergeCell ref="D81:D88"/>
    <mergeCell ref="E81:E88"/>
    <mergeCell ref="C5:C16"/>
    <mergeCell ref="D5:D16"/>
    <mergeCell ref="E31:E34"/>
    <mergeCell ref="A1:G1"/>
    <mergeCell ref="A4:B4"/>
    <mergeCell ref="E6:E9"/>
    <mergeCell ref="E10:E11"/>
    <mergeCell ref="E12:E15"/>
    <mergeCell ref="G6:G9"/>
    <mergeCell ref="G10:G11"/>
    <mergeCell ref="G12:G15"/>
    <mergeCell ref="G17:G22"/>
    <mergeCell ref="G25:G27"/>
    <mergeCell ref="G28:G30"/>
    <mergeCell ref="G31:G34"/>
    <mergeCell ref="C17:C34"/>
    <mergeCell ref="D17:D34"/>
    <mergeCell ref="E17:E24"/>
    <mergeCell ref="E25:E27"/>
    <mergeCell ref="E28:E30"/>
    <mergeCell ref="C35:C54"/>
    <mergeCell ref="D35:D54"/>
    <mergeCell ref="E35:E40"/>
    <mergeCell ref="E45:E46"/>
    <mergeCell ref="G35:G40"/>
    <mergeCell ref="E41:E42"/>
    <mergeCell ref="G41:G42"/>
    <mergeCell ref="E43:E44"/>
    <mergeCell ref="G43:G44"/>
    <mergeCell ref="G45:G46"/>
    <mergeCell ref="E48:E50"/>
    <mergeCell ref="G48:G50"/>
    <mergeCell ref="E51:E54"/>
    <mergeCell ref="G51:G54"/>
    <mergeCell ref="C55:C61"/>
    <mergeCell ref="D55:D61"/>
    <mergeCell ref="E55:E61"/>
    <mergeCell ref="C65:C72"/>
    <mergeCell ref="D65:D72"/>
    <mergeCell ref="E65:E72"/>
  </mergeCells>
  <phoneticPr fontId="1" type="noConversion"/>
  <printOptions horizontalCentered="1"/>
  <pageMargins left="0.39370078740157483" right="0.27559055118110237" top="0.78740157480314965" bottom="0.59055118110236227" header="0.15748031496062992" footer="0.15748031496062992"/>
  <pageSetup paperSize="9" scale="5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81"/>
  <sheetViews>
    <sheetView showGridLines="0" view="pageBreakPreview" zoomScale="70" zoomScaleNormal="70" zoomScaleSheetLayoutView="70" workbookViewId="0">
      <selection activeCell="M27" sqref="M27"/>
    </sheetView>
  </sheetViews>
  <sheetFormatPr defaultColWidth="9" defaultRowHeight="28.5" customHeight="1" x14ac:dyDescent="0.3"/>
  <cols>
    <col min="1" max="1" width="8.75" style="325" customWidth="1"/>
    <col min="2" max="2" width="9.875" style="325" customWidth="1"/>
    <col min="3" max="3" width="11.5" style="325" customWidth="1"/>
    <col min="4" max="4" width="15.875" style="325" customWidth="1"/>
    <col min="5" max="5" width="17.875" style="325" customWidth="1"/>
    <col min="6" max="6" width="80.625" style="328" customWidth="1"/>
    <col min="7" max="7" width="13.5" style="325" customWidth="1"/>
    <col min="8" max="8" width="15.375" style="326" customWidth="1"/>
    <col min="9" max="9" width="1" style="257" customWidth="1"/>
    <col min="10" max="16384" width="9" style="257"/>
  </cols>
  <sheetData>
    <row r="1" spans="1:8" s="243" customFormat="1" ht="52.5" customHeight="1" x14ac:dyDescent="0.3">
      <c r="A1" s="580" t="s">
        <v>256</v>
      </c>
      <c r="B1" s="580"/>
      <c r="C1" s="580"/>
      <c r="D1" s="580"/>
      <c r="E1" s="580"/>
      <c r="F1" s="580"/>
      <c r="G1" s="580"/>
      <c r="H1" s="358"/>
    </row>
    <row r="2" spans="1:8" s="243" customFormat="1" ht="24.95" customHeight="1" x14ac:dyDescent="0.3">
      <c r="A2" s="244" t="s">
        <v>257</v>
      </c>
      <c r="B2" s="245"/>
      <c r="C2" s="246"/>
      <c r="D2" s="246"/>
      <c r="E2" s="246"/>
      <c r="F2" s="247"/>
      <c r="G2" s="246"/>
      <c r="H2" s="245"/>
    </row>
    <row r="3" spans="1:8" s="243" customFormat="1" ht="24.95" customHeight="1" thickBot="1" x14ac:dyDescent="0.35">
      <c r="A3" s="244" t="s">
        <v>258</v>
      </c>
      <c r="B3" s="245"/>
      <c r="C3" s="246"/>
      <c r="D3" s="246"/>
      <c r="E3" s="246"/>
      <c r="F3" s="247"/>
      <c r="G3" s="248" t="s">
        <v>259</v>
      </c>
    </row>
    <row r="4" spans="1:8" s="250" customFormat="1" ht="24.95" customHeight="1" thickBot="1" x14ac:dyDescent="0.35">
      <c r="A4" s="581" t="s">
        <v>260</v>
      </c>
      <c r="B4" s="582"/>
      <c r="C4" s="346" t="s">
        <v>261</v>
      </c>
      <c r="D4" s="346" t="s">
        <v>262</v>
      </c>
      <c r="E4" s="346" t="s">
        <v>263</v>
      </c>
      <c r="F4" s="346" t="s">
        <v>96</v>
      </c>
      <c r="G4" s="249" t="s">
        <v>264</v>
      </c>
      <c r="H4" s="249" t="s">
        <v>265</v>
      </c>
    </row>
    <row r="5" spans="1:8" ht="20.100000000000001" customHeight="1" thickTop="1" x14ac:dyDescent="0.3">
      <c r="A5" s="251" t="s">
        <v>266</v>
      </c>
      <c r="B5" s="252" t="s">
        <v>100</v>
      </c>
      <c r="C5" s="592" t="s">
        <v>267</v>
      </c>
      <c r="D5" s="595" t="s">
        <v>268</v>
      </c>
      <c r="E5" s="253" t="s">
        <v>269</v>
      </c>
      <c r="F5" s="254" t="s">
        <v>270</v>
      </c>
      <c r="G5" s="255" t="s">
        <v>271</v>
      </c>
      <c r="H5" s="256"/>
    </row>
    <row r="6" spans="1:8" ht="20.100000000000001" customHeight="1" x14ac:dyDescent="0.3">
      <c r="A6" s="251"/>
      <c r="B6" s="252"/>
      <c r="C6" s="593"/>
      <c r="D6" s="596"/>
      <c r="E6" s="583" t="s">
        <v>106</v>
      </c>
      <c r="F6" s="258" t="s">
        <v>107</v>
      </c>
      <c r="G6" s="586" t="s">
        <v>117</v>
      </c>
      <c r="H6" s="259"/>
    </row>
    <row r="7" spans="1:8" ht="20.100000000000001" customHeight="1" x14ac:dyDescent="0.3">
      <c r="A7" s="251"/>
      <c r="B7" s="252"/>
      <c r="C7" s="593"/>
      <c r="D7" s="596"/>
      <c r="E7" s="584"/>
      <c r="F7" s="258" t="s">
        <v>272</v>
      </c>
      <c r="G7" s="587"/>
      <c r="H7" s="259"/>
    </row>
    <row r="8" spans="1:8" ht="20.100000000000001" customHeight="1" x14ac:dyDescent="0.3">
      <c r="A8" s="251"/>
      <c r="B8" s="252"/>
      <c r="C8" s="593"/>
      <c r="D8" s="596"/>
      <c r="E8" s="584"/>
      <c r="F8" s="258" t="s">
        <v>109</v>
      </c>
      <c r="G8" s="587"/>
      <c r="H8" s="259"/>
    </row>
    <row r="9" spans="1:8" ht="21" customHeight="1" x14ac:dyDescent="0.3">
      <c r="A9" s="251"/>
      <c r="B9" s="252"/>
      <c r="C9" s="593"/>
      <c r="D9" s="596"/>
      <c r="E9" s="585"/>
      <c r="F9" s="260" t="s">
        <v>273</v>
      </c>
      <c r="G9" s="588"/>
      <c r="H9" s="261"/>
    </row>
    <row r="10" spans="1:8" ht="20.100000000000001" customHeight="1" x14ac:dyDescent="0.3">
      <c r="A10" s="251"/>
      <c r="B10" s="252"/>
      <c r="C10" s="593"/>
      <c r="D10" s="596"/>
      <c r="E10" s="589" t="s">
        <v>274</v>
      </c>
      <c r="F10" s="262" t="s">
        <v>275</v>
      </c>
      <c r="G10" s="591" t="s">
        <v>245</v>
      </c>
      <c r="H10" s="259"/>
    </row>
    <row r="11" spans="1:8" ht="20.100000000000001" customHeight="1" x14ac:dyDescent="0.3">
      <c r="A11" s="251"/>
      <c r="B11" s="252"/>
      <c r="C11" s="593"/>
      <c r="D11" s="596"/>
      <c r="E11" s="590"/>
      <c r="F11" s="347" t="s">
        <v>276</v>
      </c>
      <c r="G11" s="588"/>
      <c r="H11" s="351" t="s">
        <v>277</v>
      </c>
    </row>
    <row r="12" spans="1:8" ht="20.100000000000001" customHeight="1" x14ac:dyDescent="0.3">
      <c r="A12" s="251"/>
      <c r="B12" s="252"/>
      <c r="C12" s="593"/>
      <c r="D12" s="596"/>
      <c r="E12" s="598" t="s">
        <v>115</v>
      </c>
      <c r="F12" s="263" t="s">
        <v>116</v>
      </c>
      <c r="G12" s="601" t="s">
        <v>278</v>
      </c>
      <c r="H12" s="264"/>
    </row>
    <row r="13" spans="1:8" ht="20.100000000000001" customHeight="1" x14ac:dyDescent="0.3">
      <c r="A13" s="251"/>
      <c r="B13" s="252"/>
      <c r="C13" s="593"/>
      <c r="D13" s="596"/>
      <c r="E13" s="599"/>
      <c r="F13" s="265" t="s">
        <v>118</v>
      </c>
      <c r="G13" s="602"/>
      <c r="H13" s="266"/>
    </row>
    <row r="14" spans="1:8" ht="20.100000000000001" customHeight="1" x14ac:dyDescent="0.3">
      <c r="A14" s="251"/>
      <c r="B14" s="252"/>
      <c r="C14" s="593"/>
      <c r="D14" s="596"/>
      <c r="E14" s="599"/>
      <c r="F14" s="258" t="s">
        <v>51</v>
      </c>
      <c r="G14" s="602"/>
      <c r="H14" s="352" t="s">
        <v>247</v>
      </c>
    </row>
    <row r="15" spans="1:8" ht="20.100000000000001" customHeight="1" x14ac:dyDescent="0.3">
      <c r="A15" s="251"/>
      <c r="B15" s="252"/>
      <c r="C15" s="593"/>
      <c r="D15" s="596"/>
      <c r="E15" s="600"/>
      <c r="F15" s="267" t="s">
        <v>120</v>
      </c>
      <c r="G15" s="603"/>
      <c r="H15" s="268"/>
    </row>
    <row r="16" spans="1:8" ht="20.100000000000001" customHeight="1" x14ac:dyDescent="0.3">
      <c r="A16" s="251"/>
      <c r="B16" s="252"/>
      <c r="C16" s="593"/>
      <c r="D16" s="596"/>
      <c r="E16" s="604" t="s">
        <v>248</v>
      </c>
      <c r="F16" s="258" t="s">
        <v>249</v>
      </c>
      <c r="G16" s="591" t="s">
        <v>117</v>
      </c>
      <c r="H16" s="259"/>
    </row>
    <row r="17" spans="1:11" ht="20.100000000000001" customHeight="1" x14ac:dyDescent="0.3">
      <c r="A17" s="251"/>
      <c r="B17" s="252"/>
      <c r="C17" s="593"/>
      <c r="D17" s="596"/>
      <c r="E17" s="604"/>
      <c r="F17" s="258" t="s">
        <v>138</v>
      </c>
      <c r="G17" s="606"/>
      <c r="H17" s="259"/>
      <c r="K17" s="269"/>
    </row>
    <row r="18" spans="1:11" ht="20.100000000000001" customHeight="1" x14ac:dyDescent="0.3">
      <c r="A18" s="251"/>
      <c r="B18" s="252"/>
      <c r="C18" s="593"/>
      <c r="D18" s="596"/>
      <c r="E18" s="604"/>
      <c r="F18" s="258" t="s">
        <v>250</v>
      </c>
      <c r="G18" s="606"/>
      <c r="H18" s="259"/>
      <c r="K18" s="269"/>
    </row>
    <row r="19" spans="1:11" ht="20.100000000000001" customHeight="1" x14ac:dyDescent="0.3">
      <c r="A19" s="251"/>
      <c r="B19" s="252"/>
      <c r="C19" s="593"/>
      <c r="D19" s="596"/>
      <c r="E19" s="605"/>
      <c r="F19" s="258" t="s">
        <v>132</v>
      </c>
      <c r="G19" s="607"/>
      <c r="H19" s="259"/>
    </row>
    <row r="20" spans="1:11" ht="20.100000000000001" customHeight="1" x14ac:dyDescent="0.3">
      <c r="A20" s="251"/>
      <c r="B20" s="252"/>
      <c r="C20" s="593"/>
      <c r="D20" s="596"/>
      <c r="E20" s="608" t="s">
        <v>139</v>
      </c>
      <c r="F20" s="263" t="s">
        <v>140</v>
      </c>
      <c r="G20" s="591" t="s">
        <v>117</v>
      </c>
      <c r="H20" s="270"/>
    </row>
    <row r="21" spans="1:11" ht="20.100000000000001" customHeight="1" x14ac:dyDescent="0.3">
      <c r="A21" s="251"/>
      <c r="B21" s="252"/>
      <c r="C21" s="593"/>
      <c r="D21" s="596"/>
      <c r="E21" s="609"/>
      <c r="F21" s="258" t="s">
        <v>141</v>
      </c>
      <c r="G21" s="606"/>
      <c r="H21" s="259"/>
      <c r="K21" s="269"/>
    </row>
    <row r="22" spans="1:11" ht="20.100000000000001" customHeight="1" x14ac:dyDescent="0.3">
      <c r="A22" s="251"/>
      <c r="B22" s="252"/>
      <c r="C22" s="593"/>
      <c r="D22" s="596"/>
      <c r="E22" s="610"/>
      <c r="F22" s="267" t="s">
        <v>142</v>
      </c>
      <c r="G22" s="607"/>
      <c r="H22" s="271"/>
    </row>
    <row r="23" spans="1:11" ht="20.100000000000001" customHeight="1" x14ac:dyDescent="0.3">
      <c r="A23" s="251"/>
      <c r="B23" s="252"/>
      <c r="C23" s="594"/>
      <c r="D23" s="597"/>
      <c r="E23" s="272" t="s">
        <v>121</v>
      </c>
      <c r="F23" s="273" t="s">
        <v>122</v>
      </c>
      <c r="G23" s="345" t="s">
        <v>117</v>
      </c>
      <c r="H23" s="274"/>
    </row>
    <row r="24" spans="1:11" ht="20.100000000000001" customHeight="1" x14ac:dyDescent="0.3">
      <c r="A24" s="251"/>
      <c r="B24" s="252"/>
      <c r="C24" s="613" t="s">
        <v>117</v>
      </c>
      <c r="D24" s="616" t="s">
        <v>124</v>
      </c>
      <c r="E24" s="589" t="s">
        <v>125</v>
      </c>
      <c r="F24" s="258" t="s">
        <v>52</v>
      </c>
      <c r="G24" s="617" t="s">
        <v>244</v>
      </c>
      <c r="H24" s="259"/>
    </row>
    <row r="25" spans="1:11" ht="20.100000000000001" customHeight="1" x14ac:dyDescent="0.3">
      <c r="A25" s="251"/>
      <c r="B25" s="252"/>
      <c r="C25" s="614"/>
      <c r="D25" s="596"/>
      <c r="E25" s="589"/>
      <c r="F25" s="258" t="s">
        <v>127</v>
      </c>
      <c r="G25" s="602"/>
      <c r="H25" s="259"/>
    </row>
    <row r="26" spans="1:11" ht="20.100000000000001" customHeight="1" x14ac:dyDescent="0.3">
      <c r="A26" s="251"/>
      <c r="B26" s="252"/>
      <c r="C26" s="614"/>
      <c r="D26" s="596"/>
      <c r="E26" s="589"/>
      <c r="F26" s="258" t="s">
        <v>128</v>
      </c>
      <c r="G26" s="602"/>
      <c r="H26" s="259"/>
    </row>
    <row r="27" spans="1:11" ht="20.100000000000001" customHeight="1" x14ac:dyDescent="0.3">
      <c r="A27" s="251"/>
      <c r="B27" s="252"/>
      <c r="C27" s="614"/>
      <c r="D27" s="596"/>
      <c r="E27" s="589"/>
      <c r="F27" s="258" t="s">
        <v>129</v>
      </c>
      <c r="G27" s="602"/>
      <c r="H27" s="259"/>
    </row>
    <row r="28" spans="1:11" ht="20.100000000000001" customHeight="1" x14ac:dyDescent="0.3">
      <c r="A28" s="251"/>
      <c r="B28" s="252"/>
      <c r="C28" s="614"/>
      <c r="D28" s="596"/>
      <c r="E28" s="589"/>
      <c r="F28" s="258" t="s">
        <v>130</v>
      </c>
      <c r="G28" s="602"/>
      <c r="H28" s="259"/>
    </row>
    <row r="29" spans="1:11" ht="20.100000000000001" customHeight="1" x14ac:dyDescent="0.3">
      <c r="A29" s="251"/>
      <c r="B29" s="252"/>
      <c r="C29" s="614"/>
      <c r="D29" s="596"/>
      <c r="E29" s="589"/>
      <c r="F29" s="258" t="s">
        <v>131</v>
      </c>
      <c r="G29" s="602"/>
      <c r="H29" s="259"/>
    </row>
    <row r="30" spans="1:11" ht="20.100000000000001" customHeight="1" x14ac:dyDescent="0.3">
      <c r="A30" s="251"/>
      <c r="B30" s="252"/>
      <c r="C30" s="614"/>
      <c r="D30" s="596"/>
      <c r="E30" s="590"/>
      <c r="F30" s="267" t="s">
        <v>134</v>
      </c>
      <c r="G30" s="359"/>
      <c r="H30" s="271"/>
    </row>
    <row r="31" spans="1:11" ht="20.100000000000001" customHeight="1" x14ac:dyDescent="0.3">
      <c r="A31" s="251"/>
      <c r="B31" s="252"/>
      <c r="C31" s="614"/>
      <c r="D31" s="596"/>
      <c r="E31" s="598" t="s">
        <v>143</v>
      </c>
      <c r="F31" s="263" t="s">
        <v>144</v>
      </c>
      <c r="G31" s="601" t="s">
        <v>279</v>
      </c>
      <c r="H31" s="270"/>
    </row>
    <row r="32" spans="1:11" ht="20.100000000000001" customHeight="1" x14ac:dyDescent="0.3">
      <c r="A32" s="251"/>
      <c r="B32" s="252"/>
      <c r="C32" s="614"/>
      <c r="D32" s="596"/>
      <c r="E32" s="599"/>
      <c r="F32" s="348" t="s">
        <v>63</v>
      </c>
      <c r="G32" s="602"/>
      <c r="H32" s="353"/>
    </row>
    <row r="33" spans="1:8" ht="20.100000000000001" customHeight="1" x14ac:dyDescent="0.3">
      <c r="A33" s="251"/>
      <c r="B33" s="252"/>
      <c r="C33" s="614"/>
      <c r="D33" s="596"/>
      <c r="E33" s="599"/>
      <c r="F33" s="258" t="s">
        <v>64</v>
      </c>
      <c r="G33" s="602"/>
      <c r="H33" s="259"/>
    </row>
    <row r="34" spans="1:8" ht="20.100000000000001" customHeight="1" x14ac:dyDescent="0.3">
      <c r="A34" s="251"/>
      <c r="B34" s="252"/>
      <c r="C34" s="615"/>
      <c r="D34" s="597"/>
      <c r="E34" s="599"/>
      <c r="F34" s="348" t="s">
        <v>251</v>
      </c>
      <c r="G34" s="618"/>
      <c r="H34" s="259"/>
    </row>
    <row r="35" spans="1:8" ht="20.100000000000001" customHeight="1" x14ac:dyDescent="0.3">
      <c r="A35" s="251"/>
      <c r="B35" s="252"/>
      <c r="C35" s="630" t="s">
        <v>117</v>
      </c>
      <c r="D35" s="616" t="s">
        <v>147</v>
      </c>
      <c r="E35" s="633" t="s">
        <v>148</v>
      </c>
      <c r="F35" s="275" t="s">
        <v>149</v>
      </c>
      <c r="G35" s="634" t="s">
        <v>280</v>
      </c>
      <c r="H35" s="276"/>
    </row>
    <row r="36" spans="1:8" ht="20.100000000000001" customHeight="1" x14ac:dyDescent="0.3">
      <c r="A36" s="251"/>
      <c r="B36" s="252"/>
      <c r="C36" s="631"/>
      <c r="D36" s="596"/>
      <c r="E36" s="599"/>
      <c r="F36" s="348" t="s">
        <v>151</v>
      </c>
      <c r="G36" s="625"/>
      <c r="H36" s="354"/>
    </row>
    <row r="37" spans="1:8" ht="20.100000000000001" customHeight="1" x14ac:dyDescent="0.3">
      <c r="A37" s="251"/>
      <c r="B37" s="252"/>
      <c r="C37" s="631"/>
      <c r="D37" s="596"/>
      <c r="E37" s="599"/>
      <c r="F37" s="265" t="s">
        <v>152</v>
      </c>
      <c r="G37" s="625"/>
      <c r="H37" s="259"/>
    </row>
    <row r="38" spans="1:8" ht="20.100000000000001" customHeight="1" x14ac:dyDescent="0.3">
      <c r="A38" s="251"/>
      <c r="B38" s="252"/>
      <c r="C38" s="631"/>
      <c r="D38" s="596"/>
      <c r="E38" s="599"/>
      <c r="F38" s="258" t="s">
        <v>153</v>
      </c>
      <c r="G38" s="625"/>
      <c r="H38" s="259"/>
    </row>
    <row r="39" spans="1:8" ht="20.100000000000001" customHeight="1" x14ac:dyDescent="0.3">
      <c r="A39" s="251"/>
      <c r="B39" s="252"/>
      <c r="C39" s="631"/>
      <c r="D39" s="596"/>
      <c r="E39" s="599"/>
      <c r="F39" s="258" t="s">
        <v>154</v>
      </c>
      <c r="G39" s="625"/>
      <c r="H39" s="259"/>
    </row>
    <row r="40" spans="1:8" ht="20.100000000000001" customHeight="1" x14ac:dyDescent="0.3">
      <c r="A40" s="251"/>
      <c r="B40" s="252"/>
      <c r="C40" s="631"/>
      <c r="D40" s="596"/>
      <c r="E40" s="600"/>
      <c r="F40" s="267" t="s">
        <v>53</v>
      </c>
      <c r="G40" s="635"/>
      <c r="H40" s="271"/>
    </row>
    <row r="41" spans="1:8" ht="20.100000000000001" customHeight="1" x14ac:dyDescent="0.3">
      <c r="A41" s="251"/>
      <c r="B41" s="252"/>
      <c r="C41" s="631"/>
      <c r="D41" s="596"/>
      <c r="E41" s="598" t="s">
        <v>155</v>
      </c>
      <c r="F41" s="263" t="s">
        <v>156</v>
      </c>
      <c r="G41" s="624" t="s">
        <v>252</v>
      </c>
      <c r="H41" s="270"/>
    </row>
    <row r="42" spans="1:8" ht="20.100000000000001" customHeight="1" x14ac:dyDescent="0.3">
      <c r="A42" s="251"/>
      <c r="B42" s="252"/>
      <c r="C42" s="631"/>
      <c r="D42" s="596"/>
      <c r="E42" s="600"/>
      <c r="F42" s="267" t="s">
        <v>157</v>
      </c>
      <c r="G42" s="636"/>
      <c r="H42" s="271"/>
    </row>
    <row r="43" spans="1:8" ht="20.100000000000001" customHeight="1" x14ac:dyDescent="0.3">
      <c r="A43" s="251"/>
      <c r="B43" s="252"/>
      <c r="C43" s="631"/>
      <c r="D43" s="596"/>
      <c r="E43" s="598" t="s">
        <v>54</v>
      </c>
      <c r="F43" s="349" t="s">
        <v>158</v>
      </c>
      <c r="G43" s="624" t="s">
        <v>252</v>
      </c>
      <c r="H43" s="645" t="s">
        <v>281</v>
      </c>
    </row>
    <row r="44" spans="1:8" ht="20.100000000000001" customHeight="1" x14ac:dyDescent="0.3">
      <c r="A44" s="251"/>
      <c r="B44" s="252"/>
      <c r="C44" s="631"/>
      <c r="D44" s="596"/>
      <c r="E44" s="600"/>
      <c r="F44" s="267" t="s">
        <v>160</v>
      </c>
      <c r="G44" s="635"/>
      <c r="H44" s="646"/>
    </row>
    <row r="45" spans="1:8" ht="20.100000000000001" customHeight="1" x14ac:dyDescent="0.3">
      <c r="A45" s="251"/>
      <c r="B45" s="252"/>
      <c r="C45" s="631"/>
      <c r="D45" s="596"/>
      <c r="E45" s="598" t="s">
        <v>161</v>
      </c>
      <c r="F45" s="349" t="s">
        <v>162</v>
      </c>
      <c r="G45" s="611" t="s">
        <v>282</v>
      </c>
      <c r="H45" s="355"/>
    </row>
    <row r="46" spans="1:8" ht="20.100000000000001" customHeight="1" x14ac:dyDescent="0.3">
      <c r="A46" s="251"/>
      <c r="B46" s="252"/>
      <c r="C46" s="631"/>
      <c r="D46" s="596"/>
      <c r="E46" s="600"/>
      <c r="F46" s="267" t="s">
        <v>163</v>
      </c>
      <c r="G46" s="612"/>
      <c r="H46" s="271"/>
    </row>
    <row r="47" spans="1:8" ht="39.75" customHeight="1" x14ac:dyDescent="0.3">
      <c r="A47" s="251"/>
      <c r="B47" s="252"/>
      <c r="C47" s="631"/>
      <c r="D47" s="596"/>
      <c r="E47" s="277" t="s">
        <v>164</v>
      </c>
      <c r="F47" s="278" t="s">
        <v>254</v>
      </c>
      <c r="G47" s="356" t="s">
        <v>283</v>
      </c>
      <c r="H47" s="357"/>
    </row>
    <row r="48" spans="1:8" ht="20.100000000000001" customHeight="1" x14ac:dyDescent="0.3">
      <c r="A48" s="251"/>
      <c r="B48" s="252"/>
      <c r="C48" s="631"/>
      <c r="D48" s="596"/>
      <c r="E48" s="619" t="s">
        <v>166</v>
      </c>
      <c r="F48" s="263" t="s">
        <v>167</v>
      </c>
      <c r="G48" s="621" t="s">
        <v>244</v>
      </c>
      <c r="H48" s="270"/>
    </row>
    <row r="49" spans="1:11" ht="20.100000000000001" customHeight="1" x14ac:dyDescent="0.3">
      <c r="A49" s="251"/>
      <c r="B49" s="252"/>
      <c r="C49" s="631"/>
      <c r="D49" s="596"/>
      <c r="E49" s="620"/>
      <c r="F49" s="258" t="s">
        <v>169</v>
      </c>
      <c r="G49" s="622"/>
      <c r="H49" s="259"/>
      <c r="K49" s="269"/>
    </row>
    <row r="50" spans="1:11" ht="20.100000000000001" customHeight="1" x14ac:dyDescent="0.3">
      <c r="A50" s="251"/>
      <c r="B50" s="252"/>
      <c r="C50" s="631"/>
      <c r="D50" s="596"/>
      <c r="E50" s="620"/>
      <c r="F50" s="267" t="s">
        <v>170</v>
      </c>
      <c r="G50" s="612"/>
      <c r="H50" s="271"/>
    </row>
    <row r="51" spans="1:11" ht="20.100000000000001" customHeight="1" x14ac:dyDescent="0.3">
      <c r="A51" s="251"/>
      <c r="B51" s="252"/>
      <c r="C51" s="631"/>
      <c r="D51" s="596"/>
      <c r="E51" s="598" t="s">
        <v>171</v>
      </c>
      <c r="F51" s="348" t="s">
        <v>172</v>
      </c>
      <c r="G51" s="624" t="s">
        <v>279</v>
      </c>
      <c r="H51" s="266"/>
    </row>
    <row r="52" spans="1:11" ht="20.100000000000001" customHeight="1" x14ac:dyDescent="0.3">
      <c r="A52" s="251"/>
      <c r="B52" s="252"/>
      <c r="C52" s="631"/>
      <c r="D52" s="596"/>
      <c r="E52" s="599"/>
      <c r="F52" s="350" t="s">
        <v>174</v>
      </c>
      <c r="G52" s="625"/>
      <c r="H52" s="647"/>
    </row>
    <row r="53" spans="1:11" ht="20.100000000000001" customHeight="1" x14ac:dyDescent="0.3">
      <c r="A53" s="251"/>
      <c r="B53" s="252"/>
      <c r="C53" s="631"/>
      <c r="D53" s="596"/>
      <c r="E53" s="599"/>
      <c r="F53" s="350" t="s">
        <v>55</v>
      </c>
      <c r="G53" s="625"/>
      <c r="H53" s="647"/>
    </row>
    <row r="54" spans="1:11" ht="20.100000000000001" customHeight="1" x14ac:dyDescent="0.3">
      <c r="A54" s="251"/>
      <c r="B54" s="252"/>
      <c r="C54" s="632"/>
      <c r="D54" s="597"/>
      <c r="E54" s="623"/>
      <c r="F54" s="279" t="s">
        <v>176</v>
      </c>
      <c r="G54" s="626"/>
      <c r="H54" s="280"/>
    </row>
    <row r="55" spans="1:11" ht="20.100000000000001" customHeight="1" x14ac:dyDescent="0.3">
      <c r="A55" s="251"/>
      <c r="B55" s="252"/>
      <c r="C55" s="627" t="s">
        <v>177</v>
      </c>
      <c r="D55" s="616" t="s">
        <v>178</v>
      </c>
      <c r="E55" s="616" t="s">
        <v>56</v>
      </c>
      <c r="F55" s="281" t="s">
        <v>57</v>
      </c>
      <c r="G55" s="282"/>
      <c r="H55" s="283"/>
    </row>
    <row r="56" spans="1:11" ht="20.100000000000001" customHeight="1" x14ac:dyDescent="0.3">
      <c r="A56" s="251"/>
      <c r="B56" s="252"/>
      <c r="C56" s="593"/>
      <c r="D56" s="596"/>
      <c r="E56" s="596"/>
      <c r="F56" s="284" t="s">
        <v>179</v>
      </c>
      <c r="G56" s="282"/>
      <c r="H56" s="283"/>
    </row>
    <row r="57" spans="1:11" ht="20.100000000000001" customHeight="1" x14ac:dyDescent="0.3">
      <c r="A57" s="251"/>
      <c r="B57" s="252"/>
      <c r="C57" s="593"/>
      <c r="D57" s="596"/>
      <c r="E57" s="596"/>
      <c r="F57" s="284" t="s">
        <v>180</v>
      </c>
      <c r="G57" s="282"/>
      <c r="H57" s="283"/>
    </row>
    <row r="58" spans="1:11" ht="20.100000000000001" customHeight="1" x14ac:dyDescent="0.3">
      <c r="A58" s="251"/>
      <c r="B58" s="252"/>
      <c r="C58" s="593"/>
      <c r="D58" s="596"/>
      <c r="E58" s="596"/>
      <c r="F58" s="284" t="s">
        <v>181</v>
      </c>
      <c r="G58" s="282"/>
      <c r="H58" s="283"/>
    </row>
    <row r="59" spans="1:11" ht="20.100000000000001" customHeight="1" x14ac:dyDescent="0.3">
      <c r="A59" s="251"/>
      <c r="B59" s="252"/>
      <c r="C59" s="593"/>
      <c r="D59" s="596"/>
      <c r="E59" s="596"/>
      <c r="F59" s="284" t="s">
        <v>182</v>
      </c>
      <c r="G59" s="282"/>
      <c r="H59" s="283"/>
    </row>
    <row r="60" spans="1:11" ht="20.100000000000001" customHeight="1" x14ac:dyDescent="0.3">
      <c r="A60" s="251"/>
      <c r="B60" s="252"/>
      <c r="C60" s="593"/>
      <c r="D60" s="596"/>
      <c r="E60" s="596"/>
      <c r="F60" s="284" t="s">
        <v>183</v>
      </c>
      <c r="G60" s="282"/>
      <c r="H60" s="283"/>
    </row>
    <row r="61" spans="1:11" ht="20.100000000000001" customHeight="1" thickBot="1" x14ac:dyDescent="0.35">
      <c r="A61" s="285"/>
      <c r="B61" s="286"/>
      <c r="C61" s="628"/>
      <c r="D61" s="629"/>
      <c r="E61" s="629"/>
      <c r="F61" s="287" t="s">
        <v>58</v>
      </c>
      <c r="G61" s="288"/>
      <c r="H61" s="289"/>
    </row>
    <row r="62" spans="1:11" ht="20.100000000000001" customHeight="1" x14ac:dyDescent="0.3">
      <c r="A62" s="290" t="s">
        <v>255</v>
      </c>
      <c r="B62" s="291"/>
      <c r="C62" s="292"/>
      <c r="D62" s="293"/>
      <c r="E62" s="291"/>
      <c r="F62" s="294"/>
      <c r="G62" s="295"/>
      <c r="H62" s="296"/>
    </row>
    <row r="63" spans="1:11" ht="8.25" customHeight="1" x14ac:dyDescent="0.3">
      <c r="A63" s="290"/>
      <c r="B63" s="297"/>
      <c r="C63" s="298"/>
      <c r="D63" s="299"/>
      <c r="E63" s="297"/>
      <c r="F63" s="300"/>
      <c r="G63" s="301"/>
      <c r="H63" s="302"/>
    </row>
    <row r="64" spans="1:11" ht="20.100000000000001" customHeight="1" thickBot="1" x14ac:dyDescent="0.35">
      <c r="A64" s="303" t="s">
        <v>185</v>
      </c>
      <c r="B64" s="297"/>
      <c r="C64" s="298"/>
      <c r="D64" s="299"/>
      <c r="E64" s="297"/>
      <c r="F64" s="304"/>
      <c r="G64" s="302"/>
      <c r="H64" s="305"/>
      <c r="J64" s="306"/>
    </row>
    <row r="65" spans="1:8" ht="20.100000000000001" customHeight="1" x14ac:dyDescent="0.3">
      <c r="A65" s="307"/>
      <c r="B65" s="308"/>
      <c r="C65" s="637" t="s">
        <v>186</v>
      </c>
      <c r="D65" s="640" t="s">
        <v>69</v>
      </c>
      <c r="E65" s="640" t="s">
        <v>187</v>
      </c>
      <c r="F65" s="309" t="s">
        <v>188</v>
      </c>
      <c r="G65" s="310"/>
      <c r="H65" s="310"/>
    </row>
    <row r="66" spans="1:8" ht="20.100000000000001" customHeight="1" x14ac:dyDescent="0.3">
      <c r="A66" s="251"/>
      <c r="B66" s="252"/>
      <c r="C66" s="638"/>
      <c r="D66" s="596"/>
      <c r="E66" s="596"/>
      <c r="F66" s="284" t="s">
        <v>189</v>
      </c>
      <c r="G66" s="259"/>
      <c r="H66" s="259"/>
    </row>
    <row r="67" spans="1:8" ht="20.100000000000001" customHeight="1" x14ac:dyDescent="0.3">
      <c r="A67" s="251"/>
      <c r="B67" s="252"/>
      <c r="C67" s="638"/>
      <c r="D67" s="596"/>
      <c r="E67" s="596"/>
      <c r="F67" s="284" t="s">
        <v>180</v>
      </c>
      <c r="G67" s="259"/>
      <c r="H67" s="259"/>
    </row>
    <row r="68" spans="1:8" ht="20.100000000000001" customHeight="1" x14ac:dyDescent="0.3">
      <c r="A68" s="251"/>
      <c r="B68" s="252"/>
      <c r="C68" s="638"/>
      <c r="D68" s="596"/>
      <c r="E68" s="596"/>
      <c r="F68" s="284" t="s">
        <v>181</v>
      </c>
      <c r="G68" s="259"/>
      <c r="H68" s="259"/>
    </row>
    <row r="69" spans="1:8" ht="20.100000000000001" customHeight="1" x14ac:dyDescent="0.3">
      <c r="A69" s="251"/>
      <c r="B69" s="252"/>
      <c r="C69" s="638"/>
      <c r="D69" s="596"/>
      <c r="E69" s="596"/>
      <c r="F69" s="284" t="s">
        <v>190</v>
      </c>
      <c r="G69" s="259"/>
      <c r="H69" s="259"/>
    </row>
    <row r="70" spans="1:8" ht="20.100000000000001" customHeight="1" x14ac:dyDescent="0.3">
      <c r="A70" s="251"/>
      <c r="B70" s="252"/>
      <c r="C70" s="638"/>
      <c r="D70" s="596"/>
      <c r="E70" s="596"/>
      <c r="F70" s="284" t="s">
        <v>183</v>
      </c>
      <c r="G70" s="259"/>
      <c r="H70" s="259"/>
    </row>
    <row r="71" spans="1:8" ht="20.100000000000001" customHeight="1" x14ac:dyDescent="0.3">
      <c r="A71" s="251"/>
      <c r="B71" s="252"/>
      <c r="C71" s="638"/>
      <c r="D71" s="596"/>
      <c r="E71" s="596"/>
      <c r="F71" s="284" t="s">
        <v>58</v>
      </c>
      <c r="G71" s="259"/>
      <c r="H71" s="259"/>
    </row>
    <row r="72" spans="1:8" ht="20.100000000000001" customHeight="1" x14ac:dyDescent="0.3">
      <c r="A72" s="251"/>
      <c r="B72" s="252"/>
      <c r="C72" s="639"/>
      <c r="D72" s="597"/>
      <c r="E72" s="597"/>
      <c r="F72" s="311" t="s">
        <v>192</v>
      </c>
      <c r="G72" s="312"/>
      <c r="H72" s="312"/>
    </row>
    <row r="73" spans="1:8" ht="20.100000000000001" customHeight="1" x14ac:dyDescent="0.3">
      <c r="A73" s="251"/>
      <c r="B73" s="252"/>
      <c r="C73" s="616" t="s">
        <v>70</v>
      </c>
      <c r="D73" s="641" t="s">
        <v>69</v>
      </c>
      <c r="E73" s="616" t="s">
        <v>71</v>
      </c>
      <c r="F73" s="313" t="s">
        <v>194</v>
      </c>
      <c r="G73" s="259"/>
      <c r="H73" s="259"/>
    </row>
    <row r="74" spans="1:8" ht="20.100000000000001" customHeight="1" x14ac:dyDescent="0.3">
      <c r="A74" s="251"/>
      <c r="B74" s="252"/>
      <c r="C74" s="596"/>
      <c r="D74" s="642"/>
      <c r="E74" s="596"/>
      <c r="F74" s="314" t="s">
        <v>84</v>
      </c>
      <c r="G74" s="259"/>
      <c r="H74" s="259"/>
    </row>
    <row r="75" spans="1:8" ht="20.100000000000001" customHeight="1" x14ac:dyDescent="0.3">
      <c r="A75" s="251"/>
      <c r="B75" s="252"/>
      <c r="C75" s="596"/>
      <c r="D75" s="642"/>
      <c r="E75" s="596"/>
      <c r="F75" s="314" t="s">
        <v>72</v>
      </c>
      <c r="G75" s="259"/>
      <c r="H75" s="259"/>
    </row>
    <row r="76" spans="1:8" ht="20.100000000000001" customHeight="1" x14ac:dyDescent="0.3">
      <c r="A76" s="251"/>
      <c r="B76" s="252"/>
      <c r="C76" s="596"/>
      <c r="D76" s="642"/>
      <c r="E76" s="596"/>
      <c r="F76" s="314" t="s">
        <v>195</v>
      </c>
      <c r="G76" s="259"/>
      <c r="H76" s="259"/>
    </row>
    <row r="77" spans="1:8" ht="20.100000000000001" customHeight="1" x14ac:dyDescent="0.3">
      <c r="A77" s="251"/>
      <c r="B77" s="252"/>
      <c r="C77" s="596"/>
      <c r="D77" s="642"/>
      <c r="E77" s="596"/>
      <c r="F77" s="314" t="s">
        <v>73</v>
      </c>
      <c r="G77" s="259"/>
      <c r="H77" s="259"/>
    </row>
    <row r="78" spans="1:8" ht="20.100000000000001" customHeight="1" x14ac:dyDescent="0.3">
      <c r="A78" s="251"/>
      <c r="B78" s="252"/>
      <c r="C78" s="596"/>
      <c r="D78" s="642"/>
      <c r="E78" s="596"/>
      <c r="F78" s="314" t="s">
        <v>196</v>
      </c>
      <c r="G78" s="259"/>
      <c r="H78" s="259"/>
    </row>
    <row r="79" spans="1:8" ht="20.100000000000001" customHeight="1" x14ac:dyDescent="0.3">
      <c r="A79" s="251"/>
      <c r="B79" s="252"/>
      <c r="C79" s="596"/>
      <c r="D79" s="642"/>
      <c r="E79" s="596"/>
      <c r="F79" s="314" t="s">
        <v>74</v>
      </c>
      <c r="G79" s="259"/>
      <c r="H79" s="259"/>
    </row>
    <row r="80" spans="1:8" ht="20.100000000000001" customHeight="1" x14ac:dyDescent="0.3">
      <c r="A80" s="251"/>
      <c r="B80" s="252"/>
      <c r="C80" s="597"/>
      <c r="D80" s="643"/>
      <c r="E80" s="597"/>
      <c r="F80" s="315" t="s">
        <v>75</v>
      </c>
      <c r="G80" s="312"/>
      <c r="H80" s="312"/>
    </row>
    <row r="81" spans="1:8" ht="20.100000000000001" customHeight="1" x14ac:dyDescent="0.3">
      <c r="A81" s="251"/>
      <c r="B81" s="252"/>
      <c r="C81" s="644" t="s">
        <v>197</v>
      </c>
      <c r="D81" s="641" t="s">
        <v>69</v>
      </c>
      <c r="E81" s="644" t="s">
        <v>199</v>
      </c>
      <c r="F81" s="316" t="s">
        <v>200</v>
      </c>
      <c r="G81" s="259"/>
      <c r="H81" s="259"/>
    </row>
    <row r="82" spans="1:8" ht="20.100000000000001" customHeight="1" x14ac:dyDescent="0.3">
      <c r="A82" s="251"/>
      <c r="B82" s="252"/>
      <c r="C82" s="638"/>
      <c r="D82" s="642"/>
      <c r="E82" s="638"/>
      <c r="F82" s="314" t="s">
        <v>76</v>
      </c>
      <c r="G82" s="259"/>
      <c r="H82" s="259"/>
    </row>
    <row r="83" spans="1:8" ht="20.100000000000001" customHeight="1" x14ac:dyDescent="0.3">
      <c r="A83" s="251"/>
      <c r="B83" s="252"/>
      <c r="C83" s="638"/>
      <c r="D83" s="642"/>
      <c r="E83" s="638"/>
      <c r="F83" s="316" t="s">
        <v>77</v>
      </c>
      <c r="G83" s="259"/>
      <c r="H83" s="259"/>
    </row>
    <row r="84" spans="1:8" ht="20.100000000000001" customHeight="1" x14ac:dyDescent="0.3">
      <c r="A84" s="251"/>
      <c r="B84" s="252"/>
      <c r="C84" s="638"/>
      <c r="D84" s="642"/>
      <c r="E84" s="638"/>
      <c r="F84" s="316" t="s">
        <v>202</v>
      </c>
      <c r="G84" s="259"/>
      <c r="H84" s="259"/>
    </row>
    <row r="85" spans="1:8" ht="20.100000000000001" customHeight="1" x14ac:dyDescent="0.3">
      <c r="A85" s="251"/>
      <c r="B85" s="252"/>
      <c r="C85" s="638"/>
      <c r="D85" s="642"/>
      <c r="E85" s="638"/>
      <c r="F85" s="314" t="s">
        <v>74</v>
      </c>
      <c r="G85" s="259"/>
      <c r="H85" s="259"/>
    </row>
    <row r="86" spans="1:8" ht="20.100000000000001" customHeight="1" x14ac:dyDescent="0.3">
      <c r="A86" s="251"/>
      <c r="B86" s="252"/>
      <c r="C86" s="638"/>
      <c r="D86" s="642"/>
      <c r="E86" s="638"/>
      <c r="F86" s="317" t="s">
        <v>78</v>
      </c>
      <c r="G86" s="259"/>
      <c r="H86" s="259"/>
    </row>
    <row r="87" spans="1:8" ht="20.100000000000001" customHeight="1" x14ac:dyDescent="0.3">
      <c r="A87" s="251"/>
      <c r="B87" s="252"/>
      <c r="C87" s="638"/>
      <c r="D87" s="642"/>
      <c r="E87" s="638"/>
      <c r="F87" s="317" t="s">
        <v>203</v>
      </c>
      <c r="G87" s="259"/>
      <c r="H87" s="259"/>
    </row>
    <row r="88" spans="1:8" ht="20.100000000000001" customHeight="1" x14ac:dyDescent="0.3">
      <c r="A88" s="251"/>
      <c r="B88" s="252"/>
      <c r="C88" s="639"/>
      <c r="D88" s="643"/>
      <c r="E88" s="639"/>
      <c r="F88" s="315" t="s">
        <v>284</v>
      </c>
      <c r="G88" s="312"/>
      <c r="H88" s="312"/>
    </row>
    <row r="89" spans="1:8" ht="20.100000000000001" customHeight="1" x14ac:dyDescent="0.3">
      <c r="A89" s="251"/>
      <c r="B89" s="252"/>
      <c r="C89" s="644" t="s">
        <v>204</v>
      </c>
      <c r="D89" s="641" t="s">
        <v>69</v>
      </c>
      <c r="E89" s="644" t="s">
        <v>206</v>
      </c>
      <c r="F89" s="318" t="s">
        <v>207</v>
      </c>
      <c r="G89" s="276"/>
      <c r="H89" s="276"/>
    </row>
    <row r="90" spans="1:8" ht="20.100000000000001" customHeight="1" x14ac:dyDescent="0.3">
      <c r="A90" s="251"/>
      <c r="B90" s="252"/>
      <c r="C90" s="638"/>
      <c r="D90" s="642"/>
      <c r="E90" s="638"/>
      <c r="F90" s="314" t="s">
        <v>76</v>
      </c>
      <c r="G90" s="319"/>
      <c r="H90" s="319"/>
    </row>
    <row r="91" spans="1:8" ht="20.100000000000001" customHeight="1" x14ac:dyDescent="0.3">
      <c r="A91" s="251"/>
      <c r="B91" s="252"/>
      <c r="C91" s="638"/>
      <c r="D91" s="642"/>
      <c r="E91" s="638"/>
      <c r="F91" s="316" t="s">
        <v>77</v>
      </c>
      <c r="G91" s="319"/>
      <c r="H91" s="319"/>
    </row>
    <row r="92" spans="1:8" ht="20.100000000000001" customHeight="1" x14ac:dyDescent="0.3">
      <c r="A92" s="251"/>
      <c r="B92" s="252"/>
      <c r="C92" s="638"/>
      <c r="D92" s="642"/>
      <c r="E92" s="638"/>
      <c r="F92" s="316" t="s">
        <v>202</v>
      </c>
      <c r="G92" s="319"/>
      <c r="H92" s="319"/>
    </row>
    <row r="93" spans="1:8" ht="20.100000000000001" customHeight="1" x14ac:dyDescent="0.3">
      <c r="A93" s="251"/>
      <c r="B93" s="252"/>
      <c r="C93" s="638"/>
      <c r="D93" s="642"/>
      <c r="E93" s="638"/>
      <c r="F93" s="314" t="s">
        <v>74</v>
      </c>
      <c r="G93" s="319"/>
      <c r="H93" s="319"/>
    </row>
    <row r="94" spans="1:8" ht="20.100000000000001" customHeight="1" x14ac:dyDescent="0.3">
      <c r="A94" s="251"/>
      <c r="B94" s="252"/>
      <c r="C94" s="638"/>
      <c r="D94" s="642"/>
      <c r="E94" s="638"/>
      <c r="F94" s="317" t="s">
        <v>85</v>
      </c>
      <c r="G94" s="319"/>
      <c r="H94" s="319"/>
    </row>
    <row r="95" spans="1:8" ht="20.100000000000001" customHeight="1" x14ac:dyDescent="0.3">
      <c r="A95" s="251"/>
      <c r="B95" s="252"/>
      <c r="C95" s="639"/>
      <c r="D95" s="643"/>
      <c r="E95" s="639"/>
      <c r="F95" s="315" t="s">
        <v>210</v>
      </c>
      <c r="G95" s="320"/>
      <c r="H95" s="320"/>
    </row>
    <row r="96" spans="1:8" ht="20.100000000000001" customHeight="1" x14ac:dyDescent="0.3">
      <c r="A96" s="251"/>
      <c r="B96" s="252"/>
      <c r="C96" s="616" t="s">
        <v>211</v>
      </c>
      <c r="D96" s="641" t="s">
        <v>69</v>
      </c>
      <c r="E96" s="616" t="s">
        <v>212</v>
      </c>
      <c r="F96" s="313" t="s">
        <v>213</v>
      </c>
      <c r="G96" s="319"/>
      <c r="H96" s="319"/>
    </row>
    <row r="97" spans="1:8" ht="20.100000000000001" customHeight="1" x14ac:dyDescent="0.3">
      <c r="A97" s="251"/>
      <c r="B97" s="252"/>
      <c r="C97" s="596"/>
      <c r="D97" s="642"/>
      <c r="E97" s="596"/>
      <c r="F97" s="314" t="s">
        <v>214</v>
      </c>
      <c r="G97" s="319"/>
      <c r="H97" s="319"/>
    </row>
    <row r="98" spans="1:8" ht="20.100000000000001" customHeight="1" x14ac:dyDescent="0.3">
      <c r="A98" s="251"/>
      <c r="B98" s="252"/>
      <c r="C98" s="596"/>
      <c r="D98" s="642"/>
      <c r="E98" s="596"/>
      <c r="F98" s="314" t="s">
        <v>215</v>
      </c>
      <c r="G98" s="319"/>
      <c r="H98" s="319"/>
    </row>
    <row r="99" spans="1:8" ht="20.100000000000001" customHeight="1" x14ac:dyDescent="0.3">
      <c r="A99" s="251"/>
      <c r="B99" s="252"/>
      <c r="C99" s="596"/>
      <c r="D99" s="642"/>
      <c r="E99" s="596"/>
      <c r="F99" s="316" t="s">
        <v>80</v>
      </c>
      <c r="G99" s="319"/>
      <c r="H99" s="319"/>
    </row>
    <row r="100" spans="1:8" ht="20.100000000000001" customHeight="1" x14ac:dyDescent="0.3">
      <c r="A100" s="251"/>
      <c r="B100" s="252"/>
      <c r="C100" s="596"/>
      <c r="D100" s="642"/>
      <c r="E100" s="596"/>
      <c r="F100" s="316" t="s">
        <v>216</v>
      </c>
      <c r="G100" s="319"/>
      <c r="H100" s="319"/>
    </row>
    <row r="101" spans="1:8" ht="20.100000000000001" customHeight="1" x14ac:dyDescent="0.3">
      <c r="A101" s="251"/>
      <c r="B101" s="252"/>
      <c r="C101" s="596"/>
      <c r="D101" s="642"/>
      <c r="E101" s="596"/>
      <c r="F101" s="316" t="s">
        <v>81</v>
      </c>
      <c r="G101" s="319"/>
      <c r="H101" s="319"/>
    </row>
    <row r="102" spans="1:8" ht="20.100000000000001" customHeight="1" x14ac:dyDescent="0.3">
      <c r="A102" s="251"/>
      <c r="B102" s="252"/>
      <c r="C102" s="597"/>
      <c r="D102" s="643"/>
      <c r="E102" s="597"/>
      <c r="F102" s="321" t="s">
        <v>217</v>
      </c>
      <c r="G102" s="320"/>
      <c r="H102" s="320"/>
    </row>
    <row r="103" spans="1:8" ht="20.100000000000001" customHeight="1" x14ac:dyDescent="0.3">
      <c r="A103" s="251"/>
      <c r="B103" s="252"/>
      <c r="C103" s="616" t="s">
        <v>82</v>
      </c>
      <c r="D103" s="641" t="s">
        <v>69</v>
      </c>
      <c r="E103" s="644" t="s">
        <v>219</v>
      </c>
      <c r="F103" s="316" t="s">
        <v>220</v>
      </c>
      <c r="G103" s="617"/>
      <c r="H103" s="648"/>
    </row>
    <row r="104" spans="1:8" ht="20.100000000000001" customHeight="1" x14ac:dyDescent="0.3">
      <c r="A104" s="251"/>
      <c r="B104" s="252"/>
      <c r="C104" s="596"/>
      <c r="D104" s="642"/>
      <c r="E104" s="638"/>
      <c r="F104" s="314" t="s">
        <v>221</v>
      </c>
      <c r="G104" s="602"/>
      <c r="H104" s="649"/>
    </row>
    <row r="105" spans="1:8" ht="20.100000000000001" customHeight="1" x14ac:dyDescent="0.3">
      <c r="A105" s="251"/>
      <c r="B105" s="252"/>
      <c r="C105" s="596"/>
      <c r="D105" s="642"/>
      <c r="E105" s="638"/>
      <c r="F105" s="316" t="s">
        <v>222</v>
      </c>
      <c r="G105" s="602"/>
      <c r="H105" s="649"/>
    </row>
    <row r="106" spans="1:8" ht="20.100000000000001" customHeight="1" x14ac:dyDescent="0.3">
      <c r="A106" s="251"/>
      <c r="B106" s="252"/>
      <c r="C106" s="596"/>
      <c r="D106" s="642"/>
      <c r="E106" s="638"/>
      <c r="F106" s="316" t="s">
        <v>216</v>
      </c>
      <c r="G106" s="602"/>
      <c r="H106" s="649"/>
    </row>
    <row r="107" spans="1:8" ht="20.100000000000001" customHeight="1" x14ac:dyDescent="0.3">
      <c r="A107" s="251"/>
      <c r="B107" s="252"/>
      <c r="C107" s="596"/>
      <c r="D107" s="642"/>
      <c r="E107" s="638"/>
      <c r="F107" s="316" t="s">
        <v>224</v>
      </c>
      <c r="G107" s="602"/>
      <c r="H107" s="649"/>
    </row>
    <row r="108" spans="1:8" ht="20.100000000000001" customHeight="1" x14ac:dyDescent="0.3">
      <c r="A108" s="251"/>
      <c r="B108" s="252"/>
      <c r="C108" s="597"/>
      <c r="D108" s="643"/>
      <c r="E108" s="639"/>
      <c r="F108" s="322" t="s">
        <v>225</v>
      </c>
      <c r="G108" s="618"/>
      <c r="H108" s="650"/>
    </row>
    <row r="109" spans="1:8" ht="20.100000000000001" customHeight="1" x14ac:dyDescent="0.3">
      <c r="A109" s="251"/>
      <c r="B109" s="252"/>
      <c r="C109" s="616" t="s">
        <v>226</v>
      </c>
      <c r="D109" s="641" t="s">
        <v>69</v>
      </c>
      <c r="E109" s="644" t="s">
        <v>83</v>
      </c>
      <c r="F109" s="316" t="s">
        <v>227</v>
      </c>
      <c r="G109" s="617"/>
      <c r="H109" s="648"/>
    </row>
    <row r="110" spans="1:8" ht="20.100000000000001" customHeight="1" x14ac:dyDescent="0.3">
      <c r="A110" s="251"/>
      <c r="B110" s="252"/>
      <c r="C110" s="596"/>
      <c r="D110" s="642"/>
      <c r="E110" s="638"/>
      <c r="F110" s="314" t="s">
        <v>228</v>
      </c>
      <c r="G110" s="602"/>
      <c r="H110" s="649"/>
    </row>
    <row r="111" spans="1:8" ht="20.100000000000001" customHeight="1" x14ac:dyDescent="0.3">
      <c r="A111" s="251"/>
      <c r="B111" s="252"/>
      <c r="C111" s="596"/>
      <c r="D111" s="642"/>
      <c r="E111" s="638"/>
      <c r="F111" s="316" t="s">
        <v>229</v>
      </c>
      <c r="G111" s="602"/>
      <c r="H111" s="649"/>
    </row>
    <row r="112" spans="1:8" ht="20.100000000000001" customHeight="1" x14ac:dyDescent="0.3">
      <c r="A112" s="251"/>
      <c r="B112" s="252"/>
      <c r="C112" s="596"/>
      <c r="D112" s="642"/>
      <c r="E112" s="638"/>
      <c r="F112" s="316" t="s">
        <v>216</v>
      </c>
      <c r="G112" s="602"/>
      <c r="H112" s="649"/>
    </row>
    <row r="113" spans="1:8" ht="20.100000000000001" customHeight="1" x14ac:dyDescent="0.3">
      <c r="A113" s="251"/>
      <c r="B113" s="252"/>
      <c r="C113" s="596"/>
      <c r="D113" s="642"/>
      <c r="E113" s="638"/>
      <c r="F113" s="316" t="s">
        <v>224</v>
      </c>
      <c r="G113" s="602"/>
      <c r="H113" s="649"/>
    </row>
    <row r="114" spans="1:8" ht="20.100000000000001" customHeight="1" x14ac:dyDescent="0.3">
      <c r="A114" s="251"/>
      <c r="B114" s="252"/>
      <c r="C114" s="596"/>
      <c r="D114" s="642"/>
      <c r="E114" s="638"/>
      <c r="F114" s="316" t="s">
        <v>225</v>
      </c>
      <c r="G114" s="602"/>
      <c r="H114" s="649"/>
    </row>
    <row r="115" spans="1:8" ht="20.100000000000001" customHeight="1" thickBot="1" x14ac:dyDescent="0.35">
      <c r="A115" s="285"/>
      <c r="B115" s="286"/>
      <c r="C115" s="629"/>
      <c r="D115" s="651"/>
      <c r="E115" s="652"/>
      <c r="F115" s="323" t="s">
        <v>230</v>
      </c>
      <c r="G115" s="653"/>
      <c r="H115" s="654"/>
    </row>
    <row r="116" spans="1:8" ht="12" customHeight="1" x14ac:dyDescent="0.3">
      <c r="A116" s="324"/>
      <c r="F116" s="326"/>
      <c r="G116" s="326"/>
    </row>
    <row r="117" spans="1:8" ht="6" customHeight="1" x14ac:dyDescent="0.3">
      <c r="A117" s="327"/>
      <c r="B117" s="297"/>
      <c r="C117" s="298"/>
      <c r="D117" s="299"/>
      <c r="E117" s="297"/>
      <c r="F117" s="300"/>
      <c r="G117" s="301"/>
      <c r="H117" s="302"/>
    </row>
    <row r="118" spans="1:8" ht="17.25" x14ac:dyDescent="0.3">
      <c r="F118" s="326"/>
    </row>
    <row r="119" spans="1:8" ht="17.25" x14ac:dyDescent="0.3">
      <c r="F119" s="326"/>
    </row>
    <row r="120" spans="1:8" ht="17.25" x14ac:dyDescent="0.3">
      <c r="F120" s="326"/>
    </row>
    <row r="121" spans="1:8" ht="17.25" x14ac:dyDescent="0.3">
      <c r="F121" s="326"/>
    </row>
    <row r="122" spans="1:8" ht="17.25" x14ac:dyDescent="0.3">
      <c r="F122" s="326"/>
    </row>
    <row r="123" spans="1:8" ht="17.25" x14ac:dyDescent="0.3">
      <c r="F123" s="326"/>
    </row>
    <row r="124" spans="1:8" ht="17.25" x14ac:dyDescent="0.3">
      <c r="F124" s="326"/>
    </row>
    <row r="125" spans="1:8" ht="17.25" x14ac:dyDescent="0.3">
      <c r="F125" s="326"/>
    </row>
    <row r="126" spans="1:8" ht="17.25" x14ac:dyDescent="0.3">
      <c r="F126" s="326"/>
    </row>
    <row r="127" spans="1:8" ht="17.25" x14ac:dyDescent="0.3">
      <c r="F127" s="326"/>
    </row>
    <row r="128" spans="1:8" ht="17.25" x14ac:dyDescent="0.3">
      <c r="F128" s="326"/>
    </row>
    <row r="129" spans="6:11" s="325" customFormat="1" ht="17.25" x14ac:dyDescent="0.3">
      <c r="F129" s="326"/>
      <c r="H129" s="326"/>
      <c r="I129" s="257"/>
      <c r="J129" s="257"/>
      <c r="K129" s="257"/>
    </row>
    <row r="130" spans="6:11" s="325" customFormat="1" ht="17.25" x14ac:dyDescent="0.3">
      <c r="F130" s="326"/>
      <c r="H130" s="326"/>
      <c r="I130" s="257"/>
      <c r="J130" s="257"/>
      <c r="K130" s="257"/>
    </row>
    <row r="131" spans="6:11" s="325" customFormat="1" ht="17.25" x14ac:dyDescent="0.3">
      <c r="F131" s="326"/>
      <c r="H131" s="326"/>
      <c r="I131" s="257"/>
      <c r="J131" s="257"/>
      <c r="K131" s="257"/>
    </row>
    <row r="132" spans="6:11" s="325" customFormat="1" ht="17.25" x14ac:dyDescent="0.3">
      <c r="F132" s="326"/>
      <c r="H132" s="326"/>
      <c r="I132" s="257"/>
      <c r="J132" s="257"/>
      <c r="K132" s="257"/>
    </row>
    <row r="133" spans="6:11" s="325" customFormat="1" ht="17.25" x14ac:dyDescent="0.3">
      <c r="F133" s="326"/>
      <c r="H133" s="326"/>
      <c r="I133" s="257"/>
      <c r="J133" s="257"/>
      <c r="K133" s="257"/>
    </row>
    <row r="134" spans="6:11" s="325" customFormat="1" ht="17.25" x14ac:dyDescent="0.3">
      <c r="F134" s="326"/>
      <c r="H134" s="326"/>
      <c r="I134" s="257"/>
      <c r="J134" s="257"/>
      <c r="K134" s="257"/>
    </row>
    <row r="135" spans="6:11" s="325" customFormat="1" ht="17.25" x14ac:dyDescent="0.3">
      <c r="F135" s="326"/>
      <c r="H135" s="326"/>
      <c r="I135" s="257"/>
      <c r="J135" s="257"/>
      <c r="K135" s="257"/>
    </row>
    <row r="136" spans="6:11" s="325" customFormat="1" ht="17.25" x14ac:dyDescent="0.3">
      <c r="F136" s="326"/>
      <c r="H136" s="326"/>
      <c r="I136" s="257"/>
      <c r="J136" s="257"/>
      <c r="K136" s="257"/>
    </row>
    <row r="137" spans="6:11" s="325" customFormat="1" ht="17.25" x14ac:dyDescent="0.3">
      <c r="F137" s="326"/>
      <c r="H137" s="326"/>
      <c r="I137" s="257"/>
      <c r="J137" s="257"/>
      <c r="K137" s="257"/>
    </row>
    <row r="138" spans="6:11" s="325" customFormat="1" ht="17.25" x14ac:dyDescent="0.3">
      <c r="F138" s="326"/>
      <c r="H138" s="326"/>
      <c r="I138" s="257"/>
      <c r="J138" s="257"/>
      <c r="K138" s="257"/>
    </row>
    <row r="139" spans="6:11" s="325" customFormat="1" ht="17.25" x14ac:dyDescent="0.3">
      <c r="F139" s="326"/>
      <c r="H139" s="326"/>
      <c r="I139" s="257"/>
      <c r="J139" s="257"/>
      <c r="K139" s="257"/>
    </row>
    <row r="140" spans="6:11" s="325" customFormat="1" ht="17.25" x14ac:dyDescent="0.3">
      <c r="F140" s="326"/>
      <c r="H140" s="326"/>
      <c r="I140" s="257"/>
      <c r="J140" s="257"/>
      <c r="K140" s="257"/>
    </row>
    <row r="141" spans="6:11" s="325" customFormat="1" ht="17.25" x14ac:dyDescent="0.3">
      <c r="F141" s="326"/>
      <c r="H141" s="326"/>
      <c r="I141" s="257"/>
      <c r="J141" s="257"/>
      <c r="K141" s="257"/>
    </row>
    <row r="142" spans="6:11" s="325" customFormat="1" ht="17.25" x14ac:dyDescent="0.3">
      <c r="F142" s="326"/>
      <c r="H142" s="326"/>
      <c r="I142" s="257"/>
      <c r="J142" s="257"/>
      <c r="K142" s="257"/>
    </row>
    <row r="143" spans="6:11" s="325" customFormat="1" ht="17.25" x14ac:dyDescent="0.3">
      <c r="F143" s="326"/>
      <c r="H143" s="326"/>
      <c r="I143" s="257"/>
      <c r="J143" s="257"/>
      <c r="K143" s="257"/>
    </row>
    <row r="144" spans="6:11" s="325" customFormat="1" ht="17.25" x14ac:dyDescent="0.3">
      <c r="F144" s="326"/>
      <c r="H144" s="326"/>
      <c r="I144" s="257"/>
      <c r="J144" s="257"/>
      <c r="K144" s="257"/>
    </row>
    <row r="145" spans="6:11" s="325" customFormat="1" ht="17.25" x14ac:dyDescent="0.3">
      <c r="F145" s="326"/>
      <c r="H145" s="326"/>
      <c r="I145" s="257"/>
      <c r="J145" s="257"/>
      <c r="K145" s="257"/>
    </row>
    <row r="146" spans="6:11" s="325" customFormat="1" ht="17.25" x14ac:dyDescent="0.3">
      <c r="F146" s="326"/>
      <c r="H146" s="326"/>
      <c r="I146" s="257"/>
      <c r="J146" s="257"/>
      <c r="K146" s="257"/>
    </row>
    <row r="147" spans="6:11" s="325" customFormat="1" ht="17.25" x14ac:dyDescent="0.3">
      <c r="F147" s="326"/>
      <c r="H147" s="326"/>
      <c r="I147" s="257"/>
      <c r="J147" s="257"/>
      <c r="K147" s="257"/>
    </row>
    <row r="148" spans="6:11" s="325" customFormat="1" ht="17.25" x14ac:dyDescent="0.3">
      <c r="F148" s="326"/>
      <c r="H148" s="326"/>
      <c r="I148" s="257"/>
      <c r="J148" s="257"/>
      <c r="K148" s="257"/>
    </row>
    <row r="149" spans="6:11" s="325" customFormat="1" ht="17.25" x14ac:dyDescent="0.3">
      <c r="F149" s="326"/>
      <c r="H149" s="326"/>
      <c r="I149" s="257"/>
      <c r="J149" s="257"/>
      <c r="K149" s="257"/>
    </row>
    <row r="150" spans="6:11" s="325" customFormat="1" ht="17.25" x14ac:dyDescent="0.3">
      <c r="F150" s="326"/>
      <c r="H150" s="326"/>
      <c r="I150" s="257"/>
      <c r="J150" s="257"/>
      <c r="K150" s="257"/>
    </row>
    <row r="151" spans="6:11" s="325" customFormat="1" ht="17.25" x14ac:dyDescent="0.3">
      <c r="F151" s="326"/>
      <c r="H151" s="326"/>
      <c r="I151" s="257"/>
      <c r="J151" s="257"/>
      <c r="K151" s="257"/>
    </row>
    <row r="152" spans="6:11" s="325" customFormat="1" ht="17.25" x14ac:dyDescent="0.3">
      <c r="F152" s="326"/>
      <c r="H152" s="326"/>
      <c r="I152" s="257"/>
      <c r="J152" s="257"/>
      <c r="K152" s="257"/>
    </row>
    <row r="153" spans="6:11" s="325" customFormat="1" ht="17.25" x14ac:dyDescent="0.3">
      <c r="F153" s="326"/>
      <c r="H153" s="326"/>
      <c r="I153" s="257"/>
      <c r="J153" s="257"/>
      <c r="K153" s="257"/>
    </row>
    <row r="154" spans="6:11" s="325" customFormat="1" ht="17.25" x14ac:dyDescent="0.3">
      <c r="F154" s="326"/>
      <c r="H154" s="326"/>
      <c r="I154" s="257"/>
      <c r="J154" s="257"/>
      <c r="K154" s="257"/>
    </row>
    <row r="155" spans="6:11" s="325" customFormat="1" ht="17.25" x14ac:dyDescent="0.3">
      <c r="F155" s="326"/>
      <c r="H155" s="326"/>
      <c r="I155" s="257"/>
      <c r="J155" s="257"/>
      <c r="K155" s="257"/>
    </row>
    <row r="156" spans="6:11" s="325" customFormat="1" ht="17.25" x14ac:dyDescent="0.3">
      <c r="F156" s="326"/>
      <c r="H156" s="326"/>
      <c r="I156" s="257"/>
      <c r="J156" s="257"/>
      <c r="K156" s="257"/>
    </row>
    <row r="157" spans="6:11" s="325" customFormat="1" ht="17.25" x14ac:dyDescent="0.3">
      <c r="F157" s="326"/>
      <c r="H157" s="326"/>
      <c r="I157" s="257"/>
      <c r="J157" s="257"/>
      <c r="K157" s="257"/>
    </row>
    <row r="158" spans="6:11" s="325" customFormat="1" ht="17.25" x14ac:dyDescent="0.3">
      <c r="F158" s="326"/>
      <c r="H158" s="326"/>
      <c r="I158" s="257"/>
      <c r="J158" s="257"/>
      <c r="K158" s="257"/>
    </row>
    <row r="159" spans="6:11" s="325" customFormat="1" ht="17.25" x14ac:dyDescent="0.3">
      <c r="F159" s="326"/>
      <c r="H159" s="326"/>
      <c r="I159" s="257"/>
      <c r="J159" s="257"/>
      <c r="K159" s="257"/>
    </row>
    <row r="160" spans="6:11" s="325" customFormat="1" ht="17.25" x14ac:dyDescent="0.3">
      <c r="F160" s="326"/>
      <c r="H160" s="326"/>
      <c r="I160" s="257"/>
      <c r="J160" s="257"/>
      <c r="K160" s="257"/>
    </row>
    <row r="161" spans="6:11" s="325" customFormat="1" ht="17.25" x14ac:dyDescent="0.3">
      <c r="F161" s="326"/>
      <c r="H161" s="326"/>
      <c r="I161" s="257"/>
      <c r="J161" s="257"/>
      <c r="K161" s="257"/>
    </row>
    <row r="162" spans="6:11" s="325" customFormat="1" ht="17.25" x14ac:dyDescent="0.3">
      <c r="F162" s="326"/>
      <c r="H162" s="326"/>
      <c r="I162" s="257"/>
      <c r="J162" s="257"/>
      <c r="K162" s="257"/>
    </row>
    <row r="163" spans="6:11" s="325" customFormat="1" ht="17.25" x14ac:dyDescent="0.3">
      <c r="F163" s="326"/>
      <c r="H163" s="326"/>
      <c r="I163" s="257"/>
      <c r="J163" s="257"/>
      <c r="K163" s="257"/>
    </row>
    <row r="164" spans="6:11" s="325" customFormat="1" ht="17.25" x14ac:dyDescent="0.3">
      <c r="F164" s="326"/>
      <c r="H164" s="326"/>
      <c r="I164" s="257"/>
      <c r="J164" s="257"/>
      <c r="K164" s="257"/>
    </row>
    <row r="165" spans="6:11" s="325" customFormat="1" ht="17.25" x14ac:dyDescent="0.3">
      <c r="F165" s="326"/>
      <c r="H165" s="326"/>
      <c r="I165" s="257"/>
      <c r="J165" s="257"/>
      <c r="K165" s="257"/>
    </row>
    <row r="166" spans="6:11" s="325" customFormat="1" ht="17.25" x14ac:dyDescent="0.3">
      <c r="F166" s="326"/>
      <c r="H166" s="326"/>
      <c r="I166" s="257"/>
      <c r="J166" s="257"/>
      <c r="K166" s="257"/>
    </row>
    <row r="167" spans="6:11" s="325" customFormat="1" ht="17.25" x14ac:dyDescent="0.3">
      <c r="F167" s="326"/>
      <c r="H167" s="326"/>
      <c r="I167" s="257"/>
      <c r="J167" s="257"/>
      <c r="K167" s="257"/>
    </row>
    <row r="168" spans="6:11" s="325" customFormat="1" ht="17.25" x14ac:dyDescent="0.3">
      <c r="F168" s="326"/>
      <c r="H168" s="326"/>
      <c r="I168" s="257"/>
      <c r="J168" s="257"/>
      <c r="K168" s="257"/>
    </row>
    <row r="169" spans="6:11" s="325" customFormat="1" ht="17.25" x14ac:dyDescent="0.3">
      <c r="F169" s="326"/>
      <c r="H169" s="326"/>
      <c r="I169" s="257"/>
      <c r="J169" s="257"/>
      <c r="K169" s="257"/>
    </row>
    <row r="170" spans="6:11" s="325" customFormat="1" ht="17.25" x14ac:dyDescent="0.3">
      <c r="F170" s="326"/>
      <c r="H170" s="326"/>
      <c r="I170" s="257"/>
      <c r="J170" s="257"/>
      <c r="K170" s="257"/>
    </row>
    <row r="171" spans="6:11" s="325" customFormat="1" ht="17.25" x14ac:dyDescent="0.3">
      <c r="F171" s="326"/>
      <c r="H171" s="326"/>
      <c r="I171" s="257"/>
      <c r="J171" s="257"/>
      <c r="K171" s="257"/>
    </row>
    <row r="172" spans="6:11" s="325" customFormat="1" ht="17.25" x14ac:dyDescent="0.3">
      <c r="F172" s="326"/>
      <c r="H172" s="326"/>
      <c r="I172" s="257"/>
      <c r="J172" s="257"/>
      <c r="K172" s="257"/>
    </row>
    <row r="173" spans="6:11" s="325" customFormat="1" ht="17.25" x14ac:dyDescent="0.3">
      <c r="F173" s="326"/>
      <c r="H173" s="326"/>
      <c r="I173" s="257"/>
      <c r="J173" s="257"/>
      <c r="K173" s="257"/>
    </row>
    <row r="174" spans="6:11" s="325" customFormat="1" ht="17.25" x14ac:dyDescent="0.3">
      <c r="F174" s="326"/>
      <c r="H174" s="326"/>
      <c r="I174" s="257"/>
      <c r="J174" s="257"/>
      <c r="K174" s="257"/>
    </row>
    <row r="175" spans="6:11" s="325" customFormat="1" ht="17.25" x14ac:dyDescent="0.3">
      <c r="F175" s="326"/>
      <c r="H175" s="326"/>
      <c r="I175" s="257"/>
      <c r="J175" s="257"/>
      <c r="K175" s="257"/>
    </row>
    <row r="176" spans="6:11" s="325" customFormat="1" ht="17.25" x14ac:dyDescent="0.3">
      <c r="F176" s="326"/>
      <c r="H176" s="326"/>
      <c r="I176" s="257"/>
      <c r="J176" s="257"/>
      <c r="K176" s="257"/>
    </row>
    <row r="177" spans="6:11" s="325" customFormat="1" ht="17.25" x14ac:dyDescent="0.3">
      <c r="F177" s="326"/>
      <c r="H177" s="326"/>
      <c r="I177" s="257"/>
      <c r="J177" s="257"/>
      <c r="K177" s="257"/>
    </row>
    <row r="178" spans="6:11" s="325" customFormat="1" ht="17.25" x14ac:dyDescent="0.3">
      <c r="F178" s="326"/>
      <c r="H178" s="326"/>
      <c r="I178" s="257"/>
      <c r="J178" s="257"/>
      <c r="K178" s="257"/>
    </row>
    <row r="179" spans="6:11" s="325" customFormat="1" ht="17.25" x14ac:dyDescent="0.3">
      <c r="F179" s="326"/>
      <c r="H179" s="326"/>
      <c r="I179" s="257"/>
      <c r="J179" s="257"/>
      <c r="K179" s="257"/>
    </row>
    <row r="180" spans="6:11" s="325" customFormat="1" ht="17.25" x14ac:dyDescent="0.3">
      <c r="F180" s="326"/>
      <c r="H180" s="326"/>
      <c r="I180" s="257"/>
      <c r="J180" s="257"/>
      <c r="K180" s="257"/>
    </row>
    <row r="181" spans="6:11" s="325" customFormat="1" ht="17.25" x14ac:dyDescent="0.3">
      <c r="F181" s="326"/>
      <c r="H181" s="326"/>
      <c r="I181" s="257"/>
      <c r="J181" s="257"/>
      <c r="K181" s="257"/>
    </row>
    <row r="182" spans="6:11" s="325" customFormat="1" ht="17.25" x14ac:dyDescent="0.3">
      <c r="F182" s="326"/>
      <c r="H182" s="326"/>
      <c r="I182" s="257"/>
      <c r="J182" s="257"/>
      <c r="K182" s="257"/>
    </row>
    <row r="183" spans="6:11" s="325" customFormat="1" ht="17.25" x14ac:dyDescent="0.3">
      <c r="F183" s="326"/>
      <c r="H183" s="326"/>
      <c r="I183" s="257"/>
      <c r="J183" s="257"/>
      <c r="K183" s="257"/>
    </row>
    <row r="184" spans="6:11" s="325" customFormat="1" ht="17.25" x14ac:dyDescent="0.3">
      <c r="F184" s="326"/>
      <c r="H184" s="326"/>
      <c r="I184" s="257"/>
      <c r="J184" s="257"/>
      <c r="K184" s="257"/>
    </row>
    <row r="185" spans="6:11" s="325" customFormat="1" ht="17.25" x14ac:dyDescent="0.3">
      <c r="F185" s="326"/>
      <c r="H185" s="326"/>
      <c r="I185" s="257"/>
      <c r="J185" s="257"/>
      <c r="K185" s="257"/>
    </row>
    <row r="186" spans="6:11" s="325" customFormat="1" ht="17.25" x14ac:dyDescent="0.3">
      <c r="F186" s="326"/>
      <c r="H186" s="326"/>
      <c r="I186" s="257"/>
      <c r="J186" s="257"/>
      <c r="K186" s="257"/>
    </row>
    <row r="187" spans="6:11" s="325" customFormat="1" ht="17.25" x14ac:dyDescent="0.3">
      <c r="F187" s="326"/>
      <c r="H187" s="326"/>
      <c r="I187" s="257"/>
      <c r="J187" s="257"/>
      <c r="K187" s="257"/>
    </row>
    <row r="188" spans="6:11" s="325" customFormat="1" ht="17.25" x14ac:dyDescent="0.3">
      <c r="F188" s="326"/>
      <c r="H188" s="326"/>
      <c r="I188" s="257"/>
      <c r="J188" s="257"/>
      <c r="K188" s="257"/>
    </row>
    <row r="189" spans="6:11" s="325" customFormat="1" ht="17.25" x14ac:dyDescent="0.3">
      <c r="F189" s="326"/>
      <c r="H189" s="326"/>
      <c r="I189" s="257"/>
      <c r="J189" s="257"/>
      <c r="K189" s="257"/>
    </row>
    <row r="190" spans="6:11" s="325" customFormat="1" ht="17.25" x14ac:dyDescent="0.3">
      <c r="F190" s="326"/>
      <c r="H190" s="326"/>
      <c r="I190" s="257"/>
      <c r="J190" s="257"/>
      <c r="K190" s="257"/>
    </row>
    <row r="191" spans="6:11" s="325" customFormat="1" ht="17.25" x14ac:dyDescent="0.3">
      <c r="F191" s="326"/>
      <c r="H191" s="326"/>
      <c r="I191" s="257"/>
      <c r="J191" s="257"/>
      <c r="K191" s="257"/>
    </row>
    <row r="192" spans="6:11" s="325" customFormat="1" ht="17.25" x14ac:dyDescent="0.3">
      <c r="F192" s="326"/>
      <c r="H192" s="326"/>
      <c r="I192" s="257"/>
      <c r="J192" s="257"/>
      <c r="K192" s="257"/>
    </row>
    <row r="193" spans="6:11" s="325" customFormat="1" ht="17.25" x14ac:dyDescent="0.3">
      <c r="F193" s="326"/>
      <c r="H193" s="326"/>
      <c r="I193" s="257"/>
      <c r="J193" s="257"/>
      <c r="K193" s="257"/>
    </row>
    <row r="194" spans="6:11" s="325" customFormat="1" ht="17.25" x14ac:dyDescent="0.3">
      <c r="F194" s="326"/>
      <c r="H194" s="326"/>
      <c r="I194" s="257"/>
      <c r="J194" s="257"/>
      <c r="K194" s="257"/>
    </row>
    <row r="195" spans="6:11" s="325" customFormat="1" ht="17.25" x14ac:dyDescent="0.3">
      <c r="F195" s="326"/>
      <c r="H195" s="326"/>
      <c r="I195" s="257"/>
      <c r="J195" s="257"/>
      <c r="K195" s="257"/>
    </row>
    <row r="196" spans="6:11" s="325" customFormat="1" ht="17.25" x14ac:dyDescent="0.3">
      <c r="F196" s="326"/>
      <c r="H196" s="326"/>
      <c r="I196" s="257"/>
      <c r="J196" s="257"/>
      <c r="K196" s="257"/>
    </row>
    <row r="197" spans="6:11" s="325" customFormat="1" ht="17.25" x14ac:dyDescent="0.3">
      <c r="F197" s="326"/>
      <c r="H197" s="326"/>
      <c r="I197" s="257"/>
      <c r="J197" s="257"/>
      <c r="K197" s="257"/>
    </row>
    <row r="198" spans="6:11" s="325" customFormat="1" ht="17.25" x14ac:dyDescent="0.3">
      <c r="F198" s="326"/>
      <c r="H198" s="326"/>
      <c r="I198" s="257"/>
      <c r="J198" s="257"/>
      <c r="K198" s="257"/>
    </row>
    <row r="199" spans="6:11" s="325" customFormat="1" ht="17.25" x14ac:dyDescent="0.3">
      <c r="F199" s="326"/>
      <c r="H199" s="326"/>
      <c r="I199" s="257"/>
      <c r="J199" s="257"/>
      <c r="K199" s="257"/>
    </row>
    <row r="200" spans="6:11" s="325" customFormat="1" ht="17.25" x14ac:dyDescent="0.3">
      <c r="F200" s="326"/>
      <c r="H200" s="326"/>
      <c r="I200" s="257"/>
      <c r="J200" s="257"/>
      <c r="K200" s="257"/>
    </row>
    <row r="201" spans="6:11" s="325" customFormat="1" ht="17.25" x14ac:dyDescent="0.3">
      <c r="F201" s="326"/>
      <c r="H201" s="326"/>
      <c r="I201" s="257"/>
      <c r="J201" s="257"/>
      <c r="K201" s="257"/>
    </row>
    <row r="202" spans="6:11" s="325" customFormat="1" ht="17.25" x14ac:dyDescent="0.3">
      <c r="F202" s="326"/>
      <c r="H202" s="326"/>
      <c r="I202" s="257"/>
      <c r="J202" s="257"/>
      <c r="K202" s="257"/>
    </row>
    <row r="203" spans="6:11" s="325" customFormat="1" ht="17.25" x14ac:dyDescent="0.3">
      <c r="F203" s="326"/>
      <c r="H203" s="326"/>
      <c r="I203" s="257"/>
      <c r="J203" s="257"/>
      <c r="K203" s="257"/>
    </row>
    <row r="204" spans="6:11" s="325" customFormat="1" ht="17.25" x14ac:dyDescent="0.3">
      <c r="F204" s="326"/>
      <c r="H204" s="326"/>
      <c r="I204" s="257"/>
      <c r="J204" s="257"/>
      <c r="K204" s="257"/>
    </row>
    <row r="205" spans="6:11" s="325" customFormat="1" ht="17.25" x14ac:dyDescent="0.3">
      <c r="F205" s="326"/>
      <c r="H205" s="326"/>
      <c r="I205" s="257"/>
      <c r="J205" s="257"/>
      <c r="K205" s="257"/>
    </row>
    <row r="206" spans="6:11" s="325" customFormat="1" ht="17.25" x14ac:dyDescent="0.3">
      <c r="F206" s="326"/>
      <c r="H206" s="326"/>
      <c r="I206" s="257"/>
      <c r="J206" s="257"/>
      <c r="K206" s="257"/>
    </row>
    <row r="207" spans="6:11" s="325" customFormat="1" ht="17.25" x14ac:dyDescent="0.3">
      <c r="F207" s="326"/>
      <c r="H207" s="326"/>
      <c r="I207" s="257"/>
      <c r="J207" s="257"/>
      <c r="K207" s="257"/>
    </row>
    <row r="208" spans="6:11" s="325" customFormat="1" ht="17.25" x14ac:dyDescent="0.3">
      <c r="F208" s="326"/>
      <c r="H208" s="326"/>
      <c r="I208" s="257"/>
      <c r="J208" s="257"/>
      <c r="K208" s="257"/>
    </row>
    <row r="209" spans="6:11" s="325" customFormat="1" ht="17.25" x14ac:dyDescent="0.3">
      <c r="F209" s="326"/>
      <c r="H209" s="326"/>
      <c r="I209" s="257"/>
      <c r="J209" s="257"/>
      <c r="K209" s="257"/>
    </row>
    <row r="210" spans="6:11" s="325" customFormat="1" ht="17.25" x14ac:dyDescent="0.3">
      <c r="F210" s="326"/>
      <c r="H210" s="326"/>
      <c r="I210" s="257"/>
      <c r="J210" s="257"/>
      <c r="K210" s="257"/>
    </row>
    <row r="211" spans="6:11" s="325" customFormat="1" ht="17.25" x14ac:dyDescent="0.3">
      <c r="F211" s="326"/>
      <c r="H211" s="326"/>
      <c r="I211" s="257"/>
      <c r="J211" s="257"/>
      <c r="K211" s="257"/>
    </row>
    <row r="212" spans="6:11" s="325" customFormat="1" ht="17.25" x14ac:dyDescent="0.3">
      <c r="F212" s="326"/>
      <c r="H212" s="326"/>
      <c r="I212" s="257"/>
      <c r="J212" s="257"/>
      <c r="K212" s="257"/>
    </row>
    <row r="213" spans="6:11" s="325" customFormat="1" ht="17.25" x14ac:dyDescent="0.3">
      <c r="F213" s="326"/>
      <c r="H213" s="326"/>
      <c r="I213" s="257"/>
      <c r="J213" s="257"/>
      <c r="K213" s="257"/>
    </row>
    <row r="214" spans="6:11" s="325" customFormat="1" ht="17.25" x14ac:dyDescent="0.3">
      <c r="F214" s="326"/>
      <c r="H214" s="326"/>
      <c r="I214" s="257"/>
      <c r="J214" s="257"/>
      <c r="K214" s="257"/>
    </row>
    <row r="215" spans="6:11" s="325" customFormat="1" ht="17.25" x14ac:dyDescent="0.3">
      <c r="F215" s="326"/>
      <c r="H215" s="326"/>
      <c r="I215" s="257"/>
      <c r="J215" s="257"/>
      <c r="K215" s="257"/>
    </row>
    <row r="216" spans="6:11" s="325" customFormat="1" ht="17.25" x14ac:dyDescent="0.3">
      <c r="F216" s="326"/>
      <c r="H216" s="326"/>
      <c r="I216" s="257"/>
      <c r="J216" s="257"/>
      <c r="K216" s="257"/>
    </row>
    <row r="217" spans="6:11" s="325" customFormat="1" ht="17.25" x14ac:dyDescent="0.3">
      <c r="F217" s="326"/>
      <c r="H217" s="326"/>
      <c r="I217" s="257"/>
      <c r="J217" s="257"/>
      <c r="K217" s="257"/>
    </row>
    <row r="218" spans="6:11" s="325" customFormat="1" ht="17.25" x14ac:dyDescent="0.3">
      <c r="F218" s="326"/>
      <c r="H218" s="326"/>
      <c r="I218" s="257"/>
      <c r="J218" s="257"/>
      <c r="K218" s="257"/>
    </row>
    <row r="219" spans="6:11" s="325" customFormat="1" ht="17.25" x14ac:dyDescent="0.3">
      <c r="F219" s="326"/>
      <c r="H219" s="326"/>
      <c r="I219" s="257"/>
      <c r="J219" s="257"/>
      <c r="K219" s="257"/>
    </row>
    <row r="220" spans="6:11" s="325" customFormat="1" ht="17.25" x14ac:dyDescent="0.3">
      <c r="F220" s="326"/>
      <c r="H220" s="326"/>
      <c r="I220" s="257"/>
      <c r="J220" s="257"/>
      <c r="K220" s="257"/>
    </row>
    <row r="221" spans="6:11" s="325" customFormat="1" ht="17.25" x14ac:dyDescent="0.3">
      <c r="F221" s="326"/>
      <c r="H221" s="326"/>
      <c r="I221" s="257"/>
      <c r="J221" s="257"/>
      <c r="K221" s="257"/>
    </row>
    <row r="222" spans="6:11" s="325" customFormat="1" ht="17.25" x14ac:dyDescent="0.3">
      <c r="F222" s="326"/>
      <c r="H222" s="326"/>
      <c r="I222" s="257"/>
      <c r="J222" s="257"/>
      <c r="K222" s="257"/>
    </row>
    <row r="223" spans="6:11" s="325" customFormat="1" ht="17.25" x14ac:dyDescent="0.3">
      <c r="F223" s="326"/>
      <c r="H223" s="326"/>
      <c r="I223" s="257"/>
      <c r="J223" s="257"/>
      <c r="K223" s="257"/>
    </row>
    <row r="224" spans="6:11" s="325" customFormat="1" ht="17.25" x14ac:dyDescent="0.3">
      <c r="F224" s="326"/>
      <c r="H224" s="326"/>
      <c r="I224" s="257"/>
      <c r="J224" s="257"/>
      <c r="K224" s="257"/>
    </row>
    <row r="225" spans="6:11" s="325" customFormat="1" ht="17.25" x14ac:dyDescent="0.3">
      <c r="F225" s="326"/>
      <c r="H225" s="326"/>
      <c r="I225" s="257"/>
      <c r="J225" s="257"/>
      <c r="K225" s="257"/>
    </row>
    <row r="226" spans="6:11" s="325" customFormat="1" ht="17.25" x14ac:dyDescent="0.3">
      <c r="F226" s="326"/>
      <c r="H226" s="326"/>
      <c r="I226" s="257"/>
      <c r="J226" s="257"/>
      <c r="K226" s="257"/>
    </row>
    <row r="227" spans="6:11" s="325" customFormat="1" ht="17.25" x14ac:dyDescent="0.3">
      <c r="F227" s="326"/>
      <c r="H227" s="326"/>
      <c r="I227" s="257"/>
      <c r="J227" s="257"/>
      <c r="K227" s="257"/>
    </row>
    <row r="228" spans="6:11" s="325" customFormat="1" ht="17.25" x14ac:dyDescent="0.3">
      <c r="F228" s="326"/>
      <c r="H228" s="326"/>
      <c r="I228" s="257"/>
      <c r="J228" s="257"/>
      <c r="K228" s="257"/>
    </row>
    <row r="229" spans="6:11" s="325" customFormat="1" ht="17.25" x14ac:dyDescent="0.3">
      <c r="F229" s="326"/>
      <c r="H229" s="326"/>
      <c r="I229" s="257"/>
      <c r="J229" s="257"/>
      <c r="K229" s="257"/>
    </row>
    <row r="230" spans="6:11" s="325" customFormat="1" ht="17.25" x14ac:dyDescent="0.3">
      <c r="F230" s="326"/>
      <c r="H230" s="326"/>
      <c r="I230" s="257"/>
      <c r="J230" s="257"/>
      <c r="K230" s="257"/>
    </row>
    <row r="231" spans="6:11" s="325" customFormat="1" ht="17.25" x14ac:dyDescent="0.3">
      <c r="F231" s="326"/>
      <c r="H231" s="326"/>
      <c r="I231" s="257"/>
      <c r="J231" s="257"/>
      <c r="K231" s="257"/>
    </row>
    <row r="232" spans="6:11" s="325" customFormat="1" ht="17.25" x14ac:dyDescent="0.3">
      <c r="F232" s="326"/>
      <c r="H232" s="326"/>
      <c r="I232" s="257"/>
      <c r="J232" s="257"/>
      <c r="K232" s="257"/>
    </row>
    <row r="233" spans="6:11" s="325" customFormat="1" ht="17.25" x14ac:dyDescent="0.3">
      <c r="F233" s="326"/>
      <c r="H233" s="326"/>
      <c r="I233" s="257"/>
      <c r="J233" s="257"/>
      <c r="K233" s="257"/>
    </row>
    <row r="234" spans="6:11" s="325" customFormat="1" ht="17.25" x14ac:dyDescent="0.3">
      <c r="F234" s="326"/>
      <c r="H234" s="326"/>
      <c r="I234" s="257"/>
      <c r="J234" s="257"/>
      <c r="K234" s="257"/>
    </row>
    <row r="235" spans="6:11" s="325" customFormat="1" ht="17.25" x14ac:dyDescent="0.3">
      <c r="F235" s="326"/>
      <c r="H235" s="326"/>
      <c r="I235" s="257"/>
      <c r="J235" s="257"/>
      <c r="K235" s="257"/>
    </row>
    <row r="236" spans="6:11" s="325" customFormat="1" ht="17.25" x14ac:dyDescent="0.3">
      <c r="F236" s="326"/>
      <c r="H236" s="326"/>
      <c r="I236" s="257"/>
      <c r="J236" s="257"/>
      <c r="K236" s="257"/>
    </row>
    <row r="237" spans="6:11" s="325" customFormat="1" ht="17.25" x14ac:dyDescent="0.3">
      <c r="F237" s="326"/>
      <c r="H237" s="326"/>
      <c r="I237" s="257"/>
      <c r="J237" s="257"/>
      <c r="K237" s="257"/>
    </row>
    <row r="238" spans="6:11" s="325" customFormat="1" ht="17.25" x14ac:dyDescent="0.3">
      <c r="F238" s="326"/>
      <c r="H238" s="326"/>
      <c r="I238" s="257"/>
      <c r="J238" s="257"/>
      <c r="K238" s="257"/>
    </row>
    <row r="239" spans="6:11" s="325" customFormat="1" ht="17.25" x14ac:dyDescent="0.3">
      <c r="F239" s="326"/>
      <c r="H239" s="326"/>
      <c r="I239" s="257"/>
      <c r="J239" s="257"/>
      <c r="K239" s="257"/>
    </row>
    <row r="240" spans="6:11" s="325" customFormat="1" ht="17.25" x14ac:dyDescent="0.3">
      <c r="F240" s="326"/>
      <c r="H240" s="326"/>
      <c r="I240" s="257"/>
      <c r="J240" s="257"/>
      <c r="K240" s="257"/>
    </row>
    <row r="241" spans="6:11" s="325" customFormat="1" ht="17.25" x14ac:dyDescent="0.3">
      <c r="F241" s="326"/>
      <c r="H241" s="326"/>
      <c r="I241" s="257"/>
      <c r="J241" s="257"/>
      <c r="K241" s="257"/>
    </row>
    <row r="242" spans="6:11" s="325" customFormat="1" ht="17.25" x14ac:dyDescent="0.3">
      <c r="F242" s="326"/>
      <c r="H242" s="326"/>
      <c r="I242" s="257"/>
      <c r="J242" s="257"/>
      <c r="K242" s="257"/>
    </row>
    <row r="243" spans="6:11" s="325" customFormat="1" ht="17.25" x14ac:dyDescent="0.3">
      <c r="F243" s="326"/>
      <c r="H243" s="326"/>
      <c r="I243" s="257"/>
      <c r="J243" s="257"/>
      <c r="K243" s="257"/>
    </row>
    <row r="244" spans="6:11" s="325" customFormat="1" ht="17.25" x14ac:dyDescent="0.3">
      <c r="F244" s="326"/>
      <c r="H244" s="326"/>
      <c r="I244" s="257"/>
      <c r="J244" s="257"/>
      <c r="K244" s="257"/>
    </row>
    <row r="245" spans="6:11" s="325" customFormat="1" ht="17.25" x14ac:dyDescent="0.3">
      <c r="F245" s="326"/>
      <c r="H245" s="326"/>
      <c r="I245" s="257"/>
      <c r="J245" s="257"/>
      <c r="K245" s="257"/>
    </row>
    <row r="246" spans="6:11" s="325" customFormat="1" ht="17.25" x14ac:dyDescent="0.3">
      <c r="F246" s="326"/>
      <c r="H246" s="326"/>
      <c r="I246" s="257"/>
      <c r="J246" s="257"/>
      <c r="K246" s="257"/>
    </row>
    <row r="247" spans="6:11" s="325" customFormat="1" ht="17.25" x14ac:dyDescent="0.3">
      <c r="F247" s="326"/>
      <c r="H247" s="326"/>
      <c r="I247" s="257"/>
      <c r="J247" s="257"/>
      <c r="K247" s="257"/>
    </row>
    <row r="248" spans="6:11" s="325" customFormat="1" ht="17.25" x14ac:dyDescent="0.3">
      <c r="F248" s="326"/>
      <c r="H248" s="326"/>
      <c r="I248" s="257"/>
      <c r="J248" s="257"/>
      <c r="K248" s="257"/>
    </row>
    <row r="249" spans="6:11" s="325" customFormat="1" ht="17.25" x14ac:dyDescent="0.3">
      <c r="F249" s="326"/>
      <c r="H249" s="326"/>
      <c r="I249" s="257"/>
      <c r="J249" s="257"/>
      <c r="K249" s="257"/>
    </row>
    <row r="250" spans="6:11" s="325" customFormat="1" ht="17.25" x14ac:dyDescent="0.3">
      <c r="F250" s="326"/>
      <c r="H250" s="326"/>
      <c r="I250" s="257"/>
      <c r="J250" s="257"/>
      <c r="K250" s="257"/>
    </row>
    <row r="251" spans="6:11" s="325" customFormat="1" ht="17.25" x14ac:dyDescent="0.3">
      <c r="F251" s="326"/>
      <c r="H251" s="326"/>
      <c r="I251" s="257"/>
      <c r="J251" s="257"/>
      <c r="K251" s="257"/>
    </row>
    <row r="252" spans="6:11" s="325" customFormat="1" ht="17.25" x14ac:dyDescent="0.3">
      <c r="F252" s="326"/>
      <c r="H252" s="326"/>
      <c r="I252" s="257"/>
      <c r="J252" s="257"/>
      <c r="K252" s="257"/>
    </row>
    <row r="253" spans="6:11" s="325" customFormat="1" ht="17.25" x14ac:dyDescent="0.3">
      <c r="F253" s="326"/>
      <c r="H253" s="326"/>
      <c r="I253" s="257"/>
      <c r="J253" s="257"/>
      <c r="K253" s="257"/>
    </row>
    <row r="254" spans="6:11" s="325" customFormat="1" ht="17.25" x14ac:dyDescent="0.3">
      <c r="F254" s="326"/>
      <c r="H254" s="326"/>
      <c r="I254" s="257"/>
      <c r="J254" s="257"/>
      <c r="K254" s="257"/>
    </row>
    <row r="255" spans="6:11" s="325" customFormat="1" ht="17.25" x14ac:dyDescent="0.3">
      <c r="F255" s="326"/>
      <c r="H255" s="326"/>
      <c r="I255" s="257"/>
      <c r="J255" s="257"/>
      <c r="K255" s="257"/>
    </row>
    <row r="256" spans="6:11" s="325" customFormat="1" ht="17.25" x14ac:dyDescent="0.3">
      <c r="F256" s="326"/>
      <c r="H256" s="326"/>
      <c r="I256" s="257"/>
      <c r="J256" s="257"/>
      <c r="K256" s="257"/>
    </row>
    <row r="257" spans="6:11" s="325" customFormat="1" ht="17.25" x14ac:dyDescent="0.3">
      <c r="F257" s="326"/>
      <c r="H257" s="326"/>
      <c r="I257" s="257"/>
      <c r="J257" s="257"/>
      <c r="K257" s="257"/>
    </row>
    <row r="258" spans="6:11" s="325" customFormat="1" ht="17.25" x14ac:dyDescent="0.3">
      <c r="F258" s="326"/>
      <c r="H258" s="326"/>
      <c r="I258" s="257"/>
      <c r="J258" s="257"/>
      <c r="K258" s="257"/>
    </row>
    <row r="259" spans="6:11" s="325" customFormat="1" ht="17.25" x14ac:dyDescent="0.3">
      <c r="F259" s="326"/>
      <c r="H259" s="326"/>
      <c r="I259" s="257"/>
      <c r="J259" s="257"/>
      <c r="K259" s="257"/>
    </row>
    <row r="260" spans="6:11" s="325" customFormat="1" ht="17.25" x14ac:dyDescent="0.3">
      <c r="F260" s="326"/>
      <c r="H260" s="326"/>
      <c r="I260" s="257"/>
      <c r="J260" s="257"/>
      <c r="K260" s="257"/>
    </row>
    <row r="261" spans="6:11" s="325" customFormat="1" ht="17.25" x14ac:dyDescent="0.3">
      <c r="F261" s="326"/>
      <c r="H261" s="326"/>
      <c r="I261" s="257"/>
      <c r="J261" s="257"/>
      <c r="K261" s="257"/>
    </row>
    <row r="262" spans="6:11" s="325" customFormat="1" ht="17.25" x14ac:dyDescent="0.3">
      <c r="F262" s="326"/>
      <c r="H262" s="326"/>
      <c r="I262" s="257"/>
      <c r="J262" s="257"/>
      <c r="K262" s="257"/>
    </row>
    <row r="263" spans="6:11" s="325" customFormat="1" ht="17.25" x14ac:dyDescent="0.3">
      <c r="F263" s="326"/>
      <c r="H263" s="326"/>
      <c r="I263" s="257"/>
      <c r="J263" s="257"/>
      <c r="K263" s="257"/>
    </row>
    <row r="264" spans="6:11" s="325" customFormat="1" ht="17.25" x14ac:dyDescent="0.3">
      <c r="F264" s="326"/>
      <c r="H264" s="326"/>
      <c r="I264" s="257"/>
      <c r="J264" s="257"/>
      <c r="K264" s="257"/>
    </row>
    <row r="265" spans="6:11" s="325" customFormat="1" ht="17.25" x14ac:dyDescent="0.3">
      <c r="F265" s="326"/>
      <c r="H265" s="326"/>
      <c r="I265" s="257"/>
      <c r="J265" s="257"/>
      <c r="K265" s="257"/>
    </row>
    <row r="266" spans="6:11" s="325" customFormat="1" ht="17.25" x14ac:dyDescent="0.3">
      <c r="F266" s="326"/>
      <c r="H266" s="326"/>
      <c r="I266" s="257"/>
      <c r="J266" s="257"/>
      <c r="K266" s="257"/>
    </row>
    <row r="267" spans="6:11" s="325" customFormat="1" ht="17.25" x14ac:dyDescent="0.3">
      <c r="F267" s="326"/>
      <c r="H267" s="326"/>
      <c r="I267" s="257"/>
      <c r="J267" s="257"/>
      <c r="K267" s="257"/>
    </row>
    <row r="268" spans="6:11" s="325" customFormat="1" ht="17.25" x14ac:dyDescent="0.3">
      <c r="F268" s="326"/>
      <c r="H268" s="326"/>
      <c r="I268" s="257"/>
      <c r="J268" s="257"/>
      <c r="K268" s="257"/>
    </row>
    <row r="269" spans="6:11" s="325" customFormat="1" ht="17.25" x14ac:dyDescent="0.3">
      <c r="F269" s="326"/>
      <c r="H269" s="326"/>
      <c r="I269" s="257"/>
      <c r="J269" s="257"/>
      <c r="K269" s="257"/>
    </row>
    <row r="270" spans="6:11" s="325" customFormat="1" ht="17.25" x14ac:dyDescent="0.3">
      <c r="F270" s="326"/>
      <c r="H270" s="326"/>
      <c r="I270" s="257"/>
      <c r="J270" s="257"/>
      <c r="K270" s="257"/>
    </row>
    <row r="271" spans="6:11" s="325" customFormat="1" ht="17.25" x14ac:dyDescent="0.3">
      <c r="F271" s="326"/>
      <c r="H271" s="326"/>
      <c r="I271" s="257"/>
      <c r="J271" s="257"/>
      <c r="K271" s="257"/>
    </row>
    <row r="272" spans="6:11" s="325" customFormat="1" ht="17.25" x14ac:dyDescent="0.3">
      <c r="F272" s="326"/>
      <c r="H272" s="326"/>
      <c r="I272" s="257"/>
      <c r="J272" s="257"/>
      <c r="K272" s="257"/>
    </row>
    <row r="273" spans="6:11" s="325" customFormat="1" ht="17.25" x14ac:dyDescent="0.3">
      <c r="F273" s="326"/>
      <c r="H273" s="326"/>
      <c r="I273" s="257"/>
      <c r="J273" s="257"/>
      <c r="K273" s="257"/>
    </row>
    <row r="274" spans="6:11" s="325" customFormat="1" ht="17.25" x14ac:dyDescent="0.3">
      <c r="F274" s="326"/>
      <c r="H274" s="326"/>
      <c r="I274" s="257"/>
      <c r="J274" s="257"/>
      <c r="K274" s="257"/>
    </row>
    <row r="275" spans="6:11" s="325" customFormat="1" ht="17.25" x14ac:dyDescent="0.3">
      <c r="F275" s="326"/>
      <c r="H275" s="326"/>
      <c r="I275" s="257"/>
      <c r="J275" s="257"/>
      <c r="K275" s="257"/>
    </row>
    <row r="276" spans="6:11" s="325" customFormat="1" ht="17.25" x14ac:dyDescent="0.3">
      <c r="F276" s="326"/>
      <c r="H276" s="326"/>
      <c r="I276" s="257"/>
      <c r="J276" s="257"/>
      <c r="K276" s="257"/>
    </row>
    <row r="277" spans="6:11" s="325" customFormat="1" ht="17.25" x14ac:dyDescent="0.3">
      <c r="F277" s="326"/>
      <c r="H277" s="326"/>
      <c r="I277" s="257"/>
      <c r="J277" s="257"/>
      <c r="K277" s="257"/>
    </row>
    <row r="278" spans="6:11" s="325" customFormat="1" ht="17.25" x14ac:dyDescent="0.3">
      <c r="F278" s="326"/>
      <c r="H278" s="326"/>
      <c r="I278" s="257"/>
      <c r="J278" s="257"/>
      <c r="K278" s="257"/>
    </row>
    <row r="279" spans="6:11" s="325" customFormat="1" ht="17.25" x14ac:dyDescent="0.3">
      <c r="F279" s="326"/>
      <c r="H279" s="326"/>
      <c r="I279" s="257"/>
      <c r="J279" s="257"/>
      <c r="K279" s="257"/>
    </row>
    <row r="280" spans="6:11" s="325" customFormat="1" ht="17.25" x14ac:dyDescent="0.3">
      <c r="F280" s="326"/>
      <c r="H280" s="326"/>
      <c r="I280" s="257"/>
      <c r="J280" s="257"/>
      <c r="K280" s="257"/>
    </row>
    <row r="281" spans="6:11" s="325" customFormat="1" ht="17.25" x14ac:dyDescent="0.3">
      <c r="F281" s="326"/>
      <c r="H281" s="326"/>
      <c r="I281" s="257"/>
      <c r="J281" s="257"/>
      <c r="K281" s="257"/>
    </row>
  </sheetData>
  <mergeCells count="64">
    <mergeCell ref="H43:H44"/>
    <mergeCell ref="H52:H53"/>
    <mergeCell ref="G103:G108"/>
    <mergeCell ref="H103:H108"/>
    <mergeCell ref="C109:C115"/>
    <mergeCell ref="D109:D115"/>
    <mergeCell ref="E109:E115"/>
    <mergeCell ref="G109:G115"/>
    <mergeCell ref="H109:H115"/>
    <mergeCell ref="C96:C102"/>
    <mergeCell ref="D96:D102"/>
    <mergeCell ref="E96:E102"/>
    <mergeCell ref="C103:C108"/>
    <mergeCell ref="D103:D108"/>
    <mergeCell ref="E103:E108"/>
    <mergeCell ref="C81:C88"/>
    <mergeCell ref="D81:D88"/>
    <mergeCell ref="E81:E88"/>
    <mergeCell ref="C89:C95"/>
    <mergeCell ref="D89:D95"/>
    <mergeCell ref="E89:E95"/>
    <mergeCell ref="C65:C72"/>
    <mergeCell ref="D65:D72"/>
    <mergeCell ref="E65:E72"/>
    <mergeCell ref="C73:C80"/>
    <mergeCell ref="D73:D80"/>
    <mergeCell ref="E73:E80"/>
    <mergeCell ref="E48:E50"/>
    <mergeCell ref="G48:G50"/>
    <mergeCell ref="E51:E54"/>
    <mergeCell ref="G51:G54"/>
    <mergeCell ref="C55:C61"/>
    <mergeCell ref="D55:D61"/>
    <mergeCell ref="E55:E61"/>
    <mergeCell ref="C35:C54"/>
    <mergeCell ref="D35:D54"/>
    <mergeCell ref="E35:E40"/>
    <mergeCell ref="G35:G40"/>
    <mergeCell ref="E41:E42"/>
    <mergeCell ref="G41:G42"/>
    <mergeCell ref="E43:E44"/>
    <mergeCell ref="G43:G44"/>
    <mergeCell ref="E45:E46"/>
    <mergeCell ref="G45:G46"/>
    <mergeCell ref="C24:C34"/>
    <mergeCell ref="D24:D34"/>
    <mergeCell ref="E24:E30"/>
    <mergeCell ref="G24:G29"/>
    <mergeCell ref="E31:E34"/>
    <mergeCell ref="G31:G34"/>
    <mergeCell ref="A1:G1"/>
    <mergeCell ref="A4:B4"/>
    <mergeCell ref="E6:E9"/>
    <mergeCell ref="G6:G9"/>
    <mergeCell ref="E10:E11"/>
    <mergeCell ref="G10:G11"/>
    <mergeCell ref="C5:C23"/>
    <mergeCell ref="D5:D23"/>
    <mergeCell ref="E12:E15"/>
    <mergeCell ref="G12:G15"/>
    <mergeCell ref="E16:E19"/>
    <mergeCell ref="G16:G19"/>
    <mergeCell ref="E20:E22"/>
    <mergeCell ref="G20:G22"/>
  </mergeCells>
  <phoneticPr fontId="1" type="noConversion"/>
  <printOptions horizontalCentered="1"/>
  <pageMargins left="0.39370078740157483" right="0.27559055118110237" top="0.78740157480314965" bottom="0.59055118110236227" header="0.15748031496062992" footer="0.15748031496062992"/>
  <pageSetup paperSize="9" scale="50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101"/>
  <sheetViews>
    <sheetView view="pageBreakPreview" zoomScale="55" zoomScaleNormal="80" zoomScaleSheetLayoutView="55" workbookViewId="0">
      <selection activeCell="M19" sqref="M19"/>
    </sheetView>
  </sheetViews>
  <sheetFormatPr defaultColWidth="9" defaultRowHeight="28.5" customHeight="1" x14ac:dyDescent="0.3"/>
  <cols>
    <col min="1" max="1" width="10.125" style="325" customWidth="1"/>
    <col min="2" max="2" width="11.5" style="325" customWidth="1"/>
    <col min="3" max="3" width="15.875" style="325" customWidth="1"/>
    <col min="4" max="4" width="17.875" style="325" customWidth="1"/>
    <col min="5" max="5" width="80.625" style="328" customWidth="1"/>
    <col min="6" max="6" width="13.5" style="325" customWidth="1"/>
    <col min="7" max="7" width="13.875" style="326" hidden="1" customWidth="1"/>
    <col min="8" max="8" width="1" style="257" customWidth="1"/>
    <col min="9" max="9" width="9" style="257" customWidth="1"/>
    <col min="10" max="16384" width="9" style="257"/>
  </cols>
  <sheetData>
    <row r="1" spans="1:7" s="243" customFormat="1" ht="52.5" customHeight="1" x14ac:dyDescent="0.3">
      <c r="A1" s="580" t="s">
        <v>285</v>
      </c>
      <c r="B1" s="580"/>
      <c r="C1" s="580"/>
      <c r="D1" s="580"/>
      <c r="E1" s="580"/>
      <c r="F1" s="580"/>
      <c r="G1" s="358"/>
    </row>
    <row r="2" spans="1:7" s="243" customFormat="1" ht="24.95" customHeight="1" x14ac:dyDescent="0.3">
      <c r="A2" s="244" t="s">
        <v>286</v>
      </c>
      <c r="B2" s="246"/>
      <c r="C2" s="246"/>
      <c r="D2" s="246"/>
      <c r="E2" s="247"/>
      <c r="F2" s="246"/>
      <c r="G2" s="245"/>
    </row>
    <row r="3" spans="1:7" s="243" customFormat="1" ht="24.95" customHeight="1" thickBot="1" x14ac:dyDescent="0.35">
      <c r="A3" s="244" t="s">
        <v>287</v>
      </c>
      <c r="B3" s="246"/>
      <c r="C3" s="246"/>
      <c r="D3" s="246"/>
      <c r="E3" s="247"/>
      <c r="F3" s="248" t="s">
        <v>288</v>
      </c>
    </row>
    <row r="4" spans="1:7" s="250" customFormat="1" ht="24.95" customHeight="1" thickBot="1" x14ac:dyDescent="0.35">
      <c r="A4" s="344" t="s">
        <v>289</v>
      </c>
      <c r="B4" s="346" t="s">
        <v>94</v>
      </c>
      <c r="C4" s="346" t="s">
        <v>290</v>
      </c>
      <c r="D4" s="346" t="s">
        <v>60</v>
      </c>
      <c r="E4" s="346" t="s">
        <v>291</v>
      </c>
      <c r="F4" s="249" t="s">
        <v>292</v>
      </c>
      <c r="G4" s="249" t="s">
        <v>98</v>
      </c>
    </row>
    <row r="5" spans="1:7" ht="20.100000000000001" customHeight="1" thickTop="1" x14ac:dyDescent="0.3">
      <c r="A5" s="251" t="s">
        <v>293</v>
      </c>
      <c r="B5" s="592" t="s">
        <v>294</v>
      </c>
      <c r="C5" s="595" t="s">
        <v>102</v>
      </c>
      <c r="D5" s="253" t="s">
        <v>295</v>
      </c>
      <c r="E5" s="254" t="s">
        <v>104</v>
      </c>
      <c r="F5" s="255" t="s">
        <v>296</v>
      </c>
      <c r="G5" s="256"/>
    </row>
    <row r="6" spans="1:7" ht="20.100000000000001" customHeight="1" x14ac:dyDescent="0.3">
      <c r="A6" s="251"/>
      <c r="B6" s="593"/>
      <c r="C6" s="596"/>
      <c r="D6" s="583" t="s">
        <v>297</v>
      </c>
      <c r="E6" s="258" t="s">
        <v>298</v>
      </c>
      <c r="F6" s="586" t="s">
        <v>296</v>
      </c>
      <c r="G6" s="259"/>
    </row>
    <row r="7" spans="1:7" ht="20.100000000000001" customHeight="1" x14ac:dyDescent="0.3">
      <c r="A7" s="251"/>
      <c r="B7" s="593"/>
      <c r="C7" s="596"/>
      <c r="D7" s="584"/>
      <c r="E7" s="258" t="s">
        <v>299</v>
      </c>
      <c r="F7" s="587"/>
      <c r="G7" s="259"/>
    </row>
    <row r="8" spans="1:7" ht="20.100000000000001" customHeight="1" x14ac:dyDescent="0.3">
      <c r="A8" s="251"/>
      <c r="B8" s="593"/>
      <c r="C8" s="596"/>
      <c r="D8" s="584"/>
      <c r="E8" s="258" t="s">
        <v>109</v>
      </c>
      <c r="F8" s="587"/>
      <c r="G8" s="259"/>
    </row>
    <row r="9" spans="1:7" ht="21" customHeight="1" x14ac:dyDescent="0.3">
      <c r="A9" s="251"/>
      <c r="B9" s="593"/>
      <c r="C9" s="596"/>
      <c r="D9" s="585"/>
      <c r="E9" s="260" t="s">
        <v>300</v>
      </c>
      <c r="F9" s="588"/>
      <c r="G9" s="261"/>
    </row>
    <row r="10" spans="1:7" ht="20.100000000000001" customHeight="1" x14ac:dyDescent="0.3">
      <c r="A10" s="251"/>
      <c r="B10" s="593"/>
      <c r="C10" s="596"/>
      <c r="D10" s="589" t="s">
        <v>301</v>
      </c>
      <c r="E10" s="262" t="s">
        <v>302</v>
      </c>
      <c r="F10" s="591" t="s">
        <v>303</v>
      </c>
      <c r="G10" s="259"/>
    </row>
    <row r="11" spans="1:7" ht="20.100000000000001" customHeight="1" x14ac:dyDescent="0.3">
      <c r="A11" s="251"/>
      <c r="B11" s="593"/>
      <c r="C11" s="596"/>
      <c r="D11" s="590"/>
      <c r="E11" s="347" t="s">
        <v>304</v>
      </c>
      <c r="F11" s="588"/>
      <c r="G11" s="351" t="s">
        <v>305</v>
      </c>
    </row>
    <row r="12" spans="1:7" ht="20.100000000000001" customHeight="1" x14ac:dyDescent="0.3">
      <c r="A12" s="251"/>
      <c r="B12" s="593"/>
      <c r="C12" s="596"/>
      <c r="D12" s="598" t="s">
        <v>306</v>
      </c>
      <c r="E12" s="263" t="s">
        <v>307</v>
      </c>
      <c r="F12" s="601" t="s">
        <v>308</v>
      </c>
      <c r="G12" s="264"/>
    </row>
    <row r="13" spans="1:7" ht="20.100000000000001" customHeight="1" x14ac:dyDescent="0.3">
      <c r="A13" s="251"/>
      <c r="B13" s="593"/>
      <c r="C13" s="596"/>
      <c r="D13" s="599"/>
      <c r="E13" s="265" t="s">
        <v>309</v>
      </c>
      <c r="F13" s="602"/>
      <c r="G13" s="266"/>
    </row>
    <row r="14" spans="1:7" ht="20.100000000000001" customHeight="1" x14ac:dyDescent="0.3">
      <c r="A14" s="251"/>
      <c r="B14" s="593"/>
      <c r="C14" s="596"/>
      <c r="D14" s="599"/>
      <c r="E14" s="258" t="s">
        <v>310</v>
      </c>
      <c r="F14" s="602"/>
      <c r="G14" s="352" t="s">
        <v>311</v>
      </c>
    </row>
    <row r="15" spans="1:7" ht="20.100000000000001" customHeight="1" x14ac:dyDescent="0.3">
      <c r="A15" s="251"/>
      <c r="B15" s="593"/>
      <c r="C15" s="596"/>
      <c r="D15" s="600"/>
      <c r="E15" s="267" t="s">
        <v>312</v>
      </c>
      <c r="F15" s="603"/>
      <c r="G15" s="268"/>
    </row>
    <row r="16" spans="1:7" ht="20.100000000000001" customHeight="1" x14ac:dyDescent="0.3">
      <c r="A16" s="251"/>
      <c r="B16" s="593"/>
      <c r="C16" s="596"/>
      <c r="D16" s="604" t="s">
        <v>313</v>
      </c>
      <c r="E16" s="258" t="s">
        <v>314</v>
      </c>
      <c r="F16" s="591" t="s">
        <v>296</v>
      </c>
      <c r="G16" s="259"/>
    </row>
    <row r="17" spans="1:7" ht="20.100000000000001" customHeight="1" x14ac:dyDescent="0.3">
      <c r="A17" s="251"/>
      <c r="B17" s="593"/>
      <c r="C17" s="596"/>
      <c r="D17" s="604"/>
      <c r="E17" s="258" t="s">
        <v>315</v>
      </c>
      <c r="F17" s="606"/>
      <c r="G17" s="259"/>
    </row>
    <row r="18" spans="1:7" ht="20.100000000000001" customHeight="1" x14ac:dyDescent="0.3">
      <c r="A18" s="251"/>
      <c r="B18" s="593"/>
      <c r="C18" s="596"/>
      <c r="D18" s="604"/>
      <c r="E18" s="258" t="s">
        <v>250</v>
      </c>
      <c r="F18" s="606"/>
      <c r="G18" s="259"/>
    </row>
    <row r="19" spans="1:7" ht="20.100000000000001" customHeight="1" x14ac:dyDescent="0.3">
      <c r="A19" s="251"/>
      <c r="B19" s="593"/>
      <c r="C19" s="596"/>
      <c r="D19" s="605"/>
      <c r="E19" s="258" t="s">
        <v>316</v>
      </c>
      <c r="F19" s="607"/>
      <c r="G19" s="259"/>
    </row>
    <row r="20" spans="1:7" ht="20.100000000000001" customHeight="1" x14ac:dyDescent="0.3">
      <c r="A20" s="251"/>
      <c r="B20" s="593"/>
      <c r="C20" s="596"/>
      <c r="D20" s="608" t="s">
        <v>317</v>
      </c>
      <c r="E20" s="263" t="s">
        <v>318</v>
      </c>
      <c r="F20" s="591" t="s">
        <v>117</v>
      </c>
      <c r="G20" s="270"/>
    </row>
    <row r="21" spans="1:7" ht="20.100000000000001" customHeight="1" x14ac:dyDescent="0.3">
      <c r="A21" s="251"/>
      <c r="B21" s="593"/>
      <c r="C21" s="596"/>
      <c r="D21" s="609"/>
      <c r="E21" s="258" t="s">
        <v>319</v>
      </c>
      <c r="F21" s="606"/>
      <c r="G21" s="259"/>
    </row>
    <row r="22" spans="1:7" ht="20.100000000000001" customHeight="1" x14ac:dyDescent="0.3">
      <c r="A22" s="251"/>
      <c r="B22" s="593"/>
      <c r="C22" s="596"/>
      <c r="D22" s="610"/>
      <c r="E22" s="267" t="s">
        <v>320</v>
      </c>
      <c r="F22" s="607"/>
      <c r="G22" s="271"/>
    </row>
    <row r="23" spans="1:7" ht="20.100000000000001" customHeight="1" x14ac:dyDescent="0.3">
      <c r="A23" s="251"/>
      <c r="B23" s="594"/>
      <c r="C23" s="597"/>
      <c r="D23" s="272" t="s">
        <v>321</v>
      </c>
      <c r="E23" s="273" t="s">
        <v>322</v>
      </c>
      <c r="F23" s="345" t="s">
        <v>296</v>
      </c>
      <c r="G23" s="274"/>
    </row>
    <row r="24" spans="1:7" ht="20.100000000000001" customHeight="1" x14ac:dyDescent="0.3">
      <c r="A24" s="251"/>
      <c r="B24" s="613" t="s">
        <v>296</v>
      </c>
      <c r="C24" s="616" t="s">
        <v>124</v>
      </c>
      <c r="D24" s="589" t="s">
        <v>323</v>
      </c>
      <c r="E24" s="258" t="s">
        <v>324</v>
      </c>
      <c r="F24" s="617" t="s">
        <v>294</v>
      </c>
      <c r="G24" s="259"/>
    </row>
    <row r="25" spans="1:7" ht="20.100000000000001" customHeight="1" x14ac:dyDescent="0.3">
      <c r="A25" s="251"/>
      <c r="B25" s="614"/>
      <c r="C25" s="596"/>
      <c r="D25" s="589"/>
      <c r="E25" s="258" t="s">
        <v>325</v>
      </c>
      <c r="F25" s="602"/>
      <c r="G25" s="259"/>
    </row>
    <row r="26" spans="1:7" ht="20.100000000000001" customHeight="1" x14ac:dyDescent="0.3">
      <c r="A26" s="251"/>
      <c r="B26" s="614"/>
      <c r="C26" s="596"/>
      <c r="D26" s="589"/>
      <c r="E26" s="258" t="s">
        <v>128</v>
      </c>
      <c r="F26" s="602"/>
      <c r="G26" s="259"/>
    </row>
    <row r="27" spans="1:7" ht="20.100000000000001" customHeight="1" x14ac:dyDescent="0.3">
      <c r="A27" s="251"/>
      <c r="B27" s="614"/>
      <c r="C27" s="596"/>
      <c r="D27" s="589"/>
      <c r="E27" s="258" t="s">
        <v>326</v>
      </c>
      <c r="F27" s="602"/>
      <c r="G27" s="259"/>
    </row>
    <row r="28" spans="1:7" ht="20.100000000000001" customHeight="1" x14ac:dyDescent="0.3">
      <c r="A28" s="251"/>
      <c r="B28" s="614"/>
      <c r="C28" s="596"/>
      <c r="D28" s="589"/>
      <c r="E28" s="258" t="s">
        <v>327</v>
      </c>
      <c r="F28" s="602"/>
      <c r="G28" s="259"/>
    </row>
    <row r="29" spans="1:7" ht="20.100000000000001" customHeight="1" x14ac:dyDescent="0.3">
      <c r="A29" s="251"/>
      <c r="B29" s="614"/>
      <c r="C29" s="596"/>
      <c r="D29" s="589"/>
      <c r="E29" s="258" t="s">
        <v>131</v>
      </c>
      <c r="F29" s="602"/>
      <c r="G29" s="259"/>
    </row>
    <row r="30" spans="1:7" ht="20.100000000000001" customHeight="1" x14ac:dyDescent="0.3">
      <c r="A30" s="251"/>
      <c r="B30" s="614"/>
      <c r="C30" s="596"/>
      <c r="D30" s="590"/>
      <c r="E30" s="267" t="s">
        <v>134</v>
      </c>
      <c r="F30" s="359"/>
      <c r="G30" s="271"/>
    </row>
    <row r="31" spans="1:7" ht="20.100000000000001" customHeight="1" x14ac:dyDescent="0.3">
      <c r="A31" s="251"/>
      <c r="B31" s="614"/>
      <c r="C31" s="596"/>
      <c r="D31" s="598" t="s">
        <v>328</v>
      </c>
      <c r="E31" s="263" t="s">
        <v>329</v>
      </c>
      <c r="F31" s="601" t="s">
        <v>330</v>
      </c>
      <c r="G31" s="270"/>
    </row>
    <row r="32" spans="1:7" ht="20.100000000000001" customHeight="1" x14ac:dyDescent="0.3">
      <c r="A32" s="251"/>
      <c r="B32" s="614"/>
      <c r="C32" s="596"/>
      <c r="D32" s="599"/>
      <c r="E32" s="348" t="s">
        <v>331</v>
      </c>
      <c r="F32" s="602"/>
      <c r="G32" s="353" t="s">
        <v>246</v>
      </c>
    </row>
    <row r="33" spans="1:7" ht="20.100000000000001" customHeight="1" x14ac:dyDescent="0.3">
      <c r="A33" s="251"/>
      <c r="B33" s="614"/>
      <c r="C33" s="596"/>
      <c r="D33" s="599"/>
      <c r="E33" s="258" t="s">
        <v>332</v>
      </c>
      <c r="F33" s="602"/>
      <c r="G33" s="259"/>
    </row>
    <row r="34" spans="1:7" ht="20.100000000000001" customHeight="1" x14ac:dyDescent="0.3">
      <c r="A34" s="251"/>
      <c r="B34" s="615"/>
      <c r="C34" s="597"/>
      <c r="D34" s="599"/>
      <c r="E34" s="348" t="s">
        <v>333</v>
      </c>
      <c r="F34" s="618"/>
      <c r="G34" s="259"/>
    </row>
    <row r="35" spans="1:7" ht="20.100000000000001" customHeight="1" x14ac:dyDescent="0.3">
      <c r="A35" s="251"/>
      <c r="B35" s="630" t="s">
        <v>296</v>
      </c>
      <c r="C35" s="616" t="s">
        <v>334</v>
      </c>
      <c r="D35" s="633" t="s">
        <v>148</v>
      </c>
      <c r="E35" s="275" t="s">
        <v>335</v>
      </c>
      <c r="F35" s="634" t="s">
        <v>336</v>
      </c>
      <c r="G35" s="276"/>
    </row>
    <row r="36" spans="1:7" ht="20.100000000000001" customHeight="1" x14ac:dyDescent="0.3">
      <c r="A36" s="251"/>
      <c r="B36" s="631"/>
      <c r="C36" s="596"/>
      <c r="D36" s="599"/>
      <c r="E36" s="348" t="s">
        <v>337</v>
      </c>
      <c r="F36" s="625"/>
      <c r="G36" s="354" t="s">
        <v>338</v>
      </c>
    </row>
    <row r="37" spans="1:7" ht="20.100000000000001" customHeight="1" x14ac:dyDescent="0.3">
      <c r="A37" s="251"/>
      <c r="B37" s="631"/>
      <c r="C37" s="596"/>
      <c r="D37" s="599"/>
      <c r="E37" s="265" t="s">
        <v>339</v>
      </c>
      <c r="F37" s="625"/>
      <c r="G37" s="259"/>
    </row>
    <row r="38" spans="1:7" ht="20.100000000000001" customHeight="1" x14ac:dyDescent="0.3">
      <c r="A38" s="251"/>
      <c r="B38" s="631"/>
      <c r="C38" s="596"/>
      <c r="D38" s="599"/>
      <c r="E38" s="258" t="s">
        <v>153</v>
      </c>
      <c r="F38" s="625"/>
      <c r="G38" s="259"/>
    </row>
    <row r="39" spans="1:7" ht="20.100000000000001" customHeight="1" x14ac:dyDescent="0.3">
      <c r="A39" s="251"/>
      <c r="B39" s="631"/>
      <c r="C39" s="596"/>
      <c r="D39" s="599"/>
      <c r="E39" s="258" t="s">
        <v>340</v>
      </c>
      <c r="F39" s="625"/>
      <c r="G39" s="259"/>
    </row>
    <row r="40" spans="1:7" ht="20.100000000000001" customHeight="1" x14ac:dyDescent="0.3">
      <c r="A40" s="251"/>
      <c r="B40" s="631"/>
      <c r="C40" s="596"/>
      <c r="D40" s="600"/>
      <c r="E40" s="267" t="s">
        <v>341</v>
      </c>
      <c r="F40" s="635"/>
      <c r="G40" s="271"/>
    </row>
    <row r="41" spans="1:7" ht="20.100000000000001" customHeight="1" x14ac:dyDescent="0.3">
      <c r="A41" s="251"/>
      <c r="B41" s="631"/>
      <c r="C41" s="596"/>
      <c r="D41" s="598" t="s">
        <v>342</v>
      </c>
      <c r="E41" s="263" t="s">
        <v>343</v>
      </c>
      <c r="F41" s="624" t="s">
        <v>252</v>
      </c>
      <c r="G41" s="270"/>
    </row>
    <row r="42" spans="1:7" ht="20.100000000000001" customHeight="1" x14ac:dyDescent="0.3">
      <c r="A42" s="251"/>
      <c r="B42" s="631"/>
      <c r="C42" s="596"/>
      <c r="D42" s="600"/>
      <c r="E42" s="267" t="s">
        <v>344</v>
      </c>
      <c r="F42" s="636"/>
      <c r="G42" s="271"/>
    </row>
    <row r="43" spans="1:7" ht="20.100000000000001" customHeight="1" x14ac:dyDescent="0.3">
      <c r="A43" s="251"/>
      <c r="B43" s="631"/>
      <c r="C43" s="596"/>
      <c r="D43" s="598" t="s">
        <v>345</v>
      </c>
      <c r="E43" s="349" t="s">
        <v>346</v>
      </c>
      <c r="F43" s="624" t="s">
        <v>347</v>
      </c>
      <c r="G43" s="645" t="s">
        <v>253</v>
      </c>
    </row>
    <row r="44" spans="1:7" ht="20.100000000000001" customHeight="1" x14ac:dyDescent="0.3">
      <c r="A44" s="251"/>
      <c r="B44" s="631"/>
      <c r="C44" s="596"/>
      <c r="D44" s="600"/>
      <c r="E44" s="267" t="s">
        <v>348</v>
      </c>
      <c r="F44" s="635"/>
      <c r="G44" s="646"/>
    </row>
    <row r="45" spans="1:7" ht="20.100000000000001" customHeight="1" x14ac:dyDescent="0.3">
      <c r="A45" s="251"/>
      <c r="B45" s="631"/>
      <c r="C45" s="596"/>
      <c r="D45" s="598" t="s">
        <v>161</v>
      </c>
      <c r="E45" s="349" t="s">
        <v>349</v>
      </c>
      <c r="F45" s="611" t="s">
        <v>350</v>
      </c>
      <c r="G45" s="355" t="s">
        <v>351</v>
      </c>
    </row>
    <row r="46" spans="1:7" ht="20.100000000000001" customHeight="1" x14ac:dyDescent="0.3">
      <c r="A46" s="251"/>
      <c r="B46" s="631"/>
      <c r="C46" s="596"/>
      <c r="D46" s="600"/>
      <c r="E46" s="267" t="s">
        <v>352</v>
      </c>
      <c r="F46" s="612"/>
      <c r="G46" s="271"/>
    </row>
    <row r="47" spans="1:7" ht="38.25" customHeight="1" x14ac:dyDescent="0.3">
      <c r="A47" s="251"/>
      <c r="B47" s="631"/>
      <c r="C47" s="596"/>
      <c r="D47" s="277" t="s">
        <v>353</v>
      </c>
      <c r="E47" s="278" t="s">
        <v>354</v>
      </c>
      <c r="F47" s="356" t="s">
        <v>355</v>
      </c>
      <c r="G47" s="357" t="s">
        <v>356</v>
      </c>
    </row>
    <row r="48" spans="1:7" ht="20.100000000000001" customHeight="1" x14ac:dyDescent="0.3">
      <c r="A48" s="251"/>
      <c r="B48" s="631"/>
      <c r="C48" s="596"/>
      <c r="D48" s="619" t="s">
        <v>357</v>
      </c>
      <c r="E48" s="263" t="s">
        <v>167</v>
      </c>
      <c r="F48" s="621" t="s">
        <v>358</v>
      </c>
      <c r="G48" s="270"/>
    </row>
    <row r="49" spans="1:9" ht="20.100000000000001" customHeight="1" x14ac:dyDescent="0.3">
      <c r="A49" s="251"/>
      <c r="B49" s="631"/>
      <c r="C49" s="596"/>
      <c r="D49" s="620"/>
      <c r="E49" s="258" t="s">
        <v>359</v>
      </c>
      <c r="F49" s="622"/>
      <c r="G49" s="259"/>
    </row>
    <row r="50" spans="1:9" ht="20.100000000000001" customHeight="1" x14ac:dyDescent="0.3">
      <c r="A50" s="251"/>
      <c r="B50" s="631"/>
      <c r="C50" s="596"/>
      <c r="D50" s="620"/>
      <c r="E50" s="267" t="s">
        <v>170</v>
      </c>
      <c r="F50" s="612"/>
      <c r="G50" s="271"/>
    </row>
    <row r="51" spans="1:9" ht="20.100000000000001" customHeight="1" x14ac:dyDescent="0.3">
      <c r="A51" s="251"/>
      <c r="B51" s="631"/>
      <c r="C51" s="596"/>
      <c r="D51" s="598" t="s">
        <v>360</v>
      </c>
      <c r="E51" s="348" t="s">
        <v>361</v>
      </c>
      <c r="F51" s="624" t="s">
        <v>330</v>
      </c>
      <c r="G51" s="266"/>
    </row>
    <row r="52" spans="1:9" ht="20.100000000000001" customHeight="1" x14ac:dyDescent="0.3">
      <c r="A52" s="251"/>
      <c r="B52" s="631"/>
      <c r="C52" s="596"/>
      <c r="D52" s="599"/>
      <c r="E52" s="350" t="s">
        <v>174</v>
      </c>
      <c r="F52" s="625"/>
      <c r="G52" s="647" t="s">
        <v>362</v>
      </c>
    </row>
    <row r="53" spans="1:9" ht="20.100000000000001" customHeight="1" x14ac:dyDescent="0.3">
      <c r="A53" s="251"/>
      <c r="B53" s="631"/>
      <c r="C53" s="596"/>
      <c r="D53" s="599"/>
      <c r="E53" s="350" t="s">
        <v>363</v>
      </c>
      <c r="F53" s="625"/>
      <c r="G53" s="647"/>
    </row>
    <row r="54" spans="1:9" ht="20.100000000000001" customHeight="1" x14ac:dyDescent="0.3">
      <c r="A54" s="251"/>
      <c r="B54" s="632"/>
      <c r="C54" s="597"/>
      <c r="D54" s="623"/>
      <c r="E54" s="279" t="s">
        <v>364</v>
      </c>
      <c r="F54" s="626"/>
      <c r="G54" s="280"/>
    </row>
    <row r="55" spans="1:9" ht="20.100000000000001" customHeight="1" x14ac:dyDescent="0.3">
      <c r="A55" s="251"/>
      <c r="B55" s="627" t="s">
        <v>365</v>
      </c>
      <c r="C55" s="616" t="s">
        <v>366</v>
      </c>
      <c r="D55" s="616" t="s">
        <v>367</v>
      </c>
      <c r="E55" s="281" t="s">
        <v>368</v>
      </c>
      <c r="F55" s="282"/>
      <c r="G55" s="283"/>
    </row>
    <row r="56" spans="1:9" ht="20.100000000000001" customHeight="1" x14ac:dyDescent="0.3">
      <c r="A56" s="251"/>
      <c r="B56" s="593"/>
      <c r="C56" s="596"/>
      <c r="D56" s="596"/>
      <c r="E56" s="284" t="s">
        <v>369</v>
      </c>
      <c r="F56" s="282"/>
      <c r="G56" s="283"/>
    </row>
    <row r="57" spans="1:9" ht="20.100000000000001" customHeight="1" x14ac:dyDescent="0.3">
      <c r="A57" s="251"/>
      <c r="B57" s="593"/>
      <c r="C57" s="596"/>
      <c r="D57" s="596"/>
      <c r="E57" s="284" t="s">
        <v>180</v>
      </c>
      <c r="F57" s="282"/>
      <c r="G57" s="283"/>
    </row>
    <row r="58" spans="1:9" ht="20.100000000000001" customHeight="1" x14ac:dyDescent="0.3">
      <c r="A58" s="251"/>
      <c r="B58" s="593"/>
      <c r="C58" s="596"/>
      <c r="D58" s="596"/>
      <c r="E58" s="284" t="s">
        <v>370</v>
      </c>
      <c r="F58" s="282"/>
      <c r="G58" s="283"/>
    </row>
    <row r="59" spans="1:9" ht="20.100000000000001" customHeight="1" x14ac:dyDescent="0.3">
      <c r="A59" s="251"/>
      <c r="B59" s="593"/>
      <c r="C59" s="596"/>
      <c r="D59" s="596"/>
      <c r="E59" s="284" t="s">
        <v>371</v>
      </c>
      <c r="F59" s="282"/>
      <c r="G59" s="283"/>
    </row>
    <row r="60" spans="1:9" ht="20.100000000000001" customHeight="1" x14ac:dyDescent="0.3">
      <c r="A60" s="251"/>
      <c r="B60" s="593"/>
      <c r="C60" s="596"/>
      <c r="D60" s="596"/>
      <c r="E60" s="284" t="s">
        <v>372</v>
      </c>
      <c r="F60" s="282"/>
      <c r="G60" s="283"/>
    </row>
    <row r="61" spans="1:9" ht="20.100000000000001" customHeight="1" thickBot="1" x14ac:dyDescent="0.35">
      <c r="A61" s="285"/>
      <c r="B61" s="628"/>
      <c r="C61" s="629"/>
      <c r="D61" s="629"/>
      <c r="E61" s="287" t="s">
        <v>373</v>
      </c>
      <c r="F61" s="288"/>
      <c r="G61" s="289"/>
    </row>
    <row r="62" spans="1:9" ht="20.100000000000001" customHeight="1" x14ac:dyDescent="0.3">
      <c r="A62" s="290"/>
      <c r="B62" s="292"/>
      <c r="C62" s="293"/>
      <c r="D62" s="291"/>
      <c r="E62" s="294"/>
      <c r="F62" s="295"/>
      <c r="G62" s="296"/>
    </row>
    <row r="63" spans="1:9" ht="8.25" customHeight="1" x14ac:dyDescent="0.3">
      <c r="A63" s="290"/>
      <c r="B63" s="298"/>
      <c r="C63" s="299"/>
      <c r="D63" s="297"/>
      <c r="E63" s="300"/>
      <c r="F63" s="301"/>
      <c r="G63" s="302"/>
    </row>
    <row r="64" spans="1:9" s="325" customFormat="1" ht="17.25" x14ac:dyDescent="0.3">
      <c r="E64" s="326"/>
      <c r="G64" s="326"/>
      <c r="H64" s="257"/>
      <c r="I64" s="257"/>
    </row>
    <row r="65" spans="5:9" s="325" customFormat="1" ht="17.25" x14ac:dyDescent="0.3">
      <c r="E65" s="326"/>
      <c r="G65" s="326"/>
      <c r="H65" s="257"/>
      <c r="I65" s="257"/>
    </row>
    <row r="66" spans="5:9" s="325" customFormat="1" ht="17.25" x14ac:dyDescent="0.3">
      <c r="E66" s="326"/>
      <c r="G66" s="326"/>
      <c r="H66" s="257"/>
      <c r="I66" s="257"/>
    </row>
    <row r="67" spans="5:9" s="325" customFormat="1" ht="17.25" x14ac:dyDescent="0.3">
      <c r="E67" s="326"/>
      <c r="G67" s="326"/>
      <c r="H67" s="257"/>
      <c r="I67" s="257"/>
    </row>
    <row r="68" spans="5:9" s="325" customFormat="1" ht="17.25" x14ac:dyDescent="0.3">
      <c r="E68" s="326"/>
      <c r="G68" s="326"/>
      <c r="H68" s="257"/>
      <c r="I68" s="257"/>
    </row>
    <row r="69" spans="5:9" s="325" customFormat="1" ht="17.25" x14ac:dyDescent="0.3">
      <c r="E69" s="326"/>
      <c r="G69" s="326"/>
      <c r="H69" s="257"/>
      <c r="I69" s="257"/>
    </row>
    <row r="70" spans="5:9" s="325" customFormat="1" ht="17.25" x14ac:dyDescent="0.3">
      <c r="E70" s="326"/>
      <c r="G70" s="326"/>
      <c r="H70" s="257"/>
      <c r="I70" s="257"/>
    </row>
    <row r="71" spans="5:9" s="325" customFormat="1" ht="17.25" x14ac:dyDescent="0.3">
      <c r="E71" s="326"/>
      <c r="G71" s="326"/>
      <c r="H71" s="257"/>
      <c r="I71" s="257"/>
    </row>
    <row r="72" spans="5:9" s="325" customFormat="1" ht="17.25" x14ac:dyDescent="0.3">
      <c r="E72" s="326"/>
      <c r="G72" s="326"/>
      <c r="H72" s="257"/>
      <c r="I72" s="257"/>
    </row>
    <row r="73" spans="5:9" s="325" customFormat="1" ht="17.25" x14ac:dyDescent="0.3">
      <c r="E73" s="326"/>
      <c r="G73" s="326"/>
      <c r="H73" s="257"/>
      <c r="I73" s="257"/>
    </row>
    <row r="74" spans="5:9" s="325" customFormat="1" ht="17.25" x14ac:dyDescent="0.3">
      <c r="E74" s="326"/>
      <c r="G74" s="326"/>
      <c r="H74" s="257"/>
      <c r="I74" s="257"/>
    </row>
    <row r="75" spans="5:9" s="325" customFormat="1" ht="17.25" x14ac:dyDescent="0.3">
      <c r="E75" s="326"/>
      <c r="G75" s="326"/>
      <c r="H75" s="257"/>
      <c r="I75" s="257"/>
    </row>
    <row r="76" spans="5:9" s="325" customFormat="1" ht="17.25" x14ac:dyDescent="0.3">
      <c r="E76" s="326"/>
      <c r="G76" s="326"/>
      <c r="H76" s="257"/>
      <c r="I76" s="257"/>
    </row>
    <row r="77" spans="5:9" s="325" customFormat="1" ht="17.25" x14ac:dyDescent="0.3">
      <c r="E77" s="326"/>
      <c r="G77" s="326"/>
      <c r="H77" s="257"/>
      <c r="I77" s="257"/>
    </row>
    <row r="78" spans="5:9" s="325" customFormat="1" ht="17.25" x14ac:dyDescent="0.3">
      <c r="E78" s="326"/>
      <c r="G78" s="326"/>
      <c r="H78" s="257"/>
      <c r="I78" s="257"/>
    </row>
    <row r="79" spans="5:9" s="325" customFormat="1" ht="17.25" x14ac:dyDescent="0.3">
      <c r="E79" s="326"/>
      <c r="G79" s="326"/>
      <c r="H79" s="257"/>
      <c r="I79" s="257"/>
    </row>
    <row r="80" spans="5:9" s="325" customFormat="1" ht="17.25" x14ac:dyDescent="0.3">
      <c r="E80" s="326"/>
      <c r="G80" s="326"/>
      <c r="H80" s="257"/>
      <c r="I80" s="257"/>
    </row>
    <row r="81" spans="5:9" s="325" customFormat="1" ht="17.25" x14ac:dyDescent="0.3">
      <c r="E81" s="326"/>
      <c r="G81" s="326"/>
      <c r="H81" s="257"/>
      <c r="I81" s="257"/>
    </row>
    <row r="82" spans="5:9" s="325" customFormat="1" ht="17.25" x14ac:dyDescent="0.3">
      <c r="E82" s="326"/>
      <c r="G82" s="326"/>
      <c r="H82" s="257"/>
      <c r="I82" s="257"/>
    </row>
    <row r="83" spans="5:9" s="325" customFormat="1" ht="17.25" x14ac:dyDescent="0.3">
      <c r="E83" s="326"/>
      <c r="G83" s="326"/>
      <c r="H83" s="257"/>
      <c r="I83" s="257"/>
    </row>
    <row r="84" spans="5:9" s="325" customFormat="1" ht="17.25" x14ac:dyDescent="0.3">
      <c r="E84" s="326"/>
      <c r="G84" s="326"/>
      <c r="H84" s="257"/>
      <c r="I84" s="257"/>
    </row>
    <row r="85" spans="5:9" s="325" customFormat="1" ht="17.25" x14ac:dyDescent="0.3">
      <c r="E85" s="326"/>
      <c r="G85" s="326"/>
      <c r="H85" s="257"/>
      <c r="I85" s="257"/>
    </row>
    <row r="86" spans="5:9" s="325" customFormat="1" ht="17.25" x14ac:dyDescent="0.3">
      <c r="E86" s="326"/>
      <c r="G86" s="326"/>
      <c r="H86" s="257"/>
      <c r="I86" s="257"/>
    </row>
    <row r="87" spans="5:9" s="325" customFormat="1" ht="17.25" x14ac:dyDescent="0.3">
      <c r="E87" s="326"/>
      <c r="G87" s="326"/>
      <c r="H87" s="257"/>
      <c r="I87" s="257"/>
    </row>
    <row r="88" spans="5:9" s="325" customFormat="1" ht="17.25" x14ac:dyDescent="0.3">
      <c r="E88" s="326"/>
      <c r="G88" s="326"/>
      <c r="H88" s="257"/>
      <c r="I88" s="257"/>
    </row>
    <row r="89" spans="5:9" s="325" customFormat="1" ht="17.25" x14ac:dyDescent="0.3">
      <c r="E89" s="326"/>
      <c r="G89" s="326"/>
      <c r="H89" s="257"/>
      <c r="I89" s="257"/>
    </row>
    <row r="90" spans="5:9" s="325" customFormat="1" ht="17.25" x14ac:dyDescent="0.3">
      <c r="E90" s="326"/>
      <c r="G90" s="326"/>
      <c r="H90" s="257"/>
      <c r="I90" s="257"/>
    </row>
    <row r="91" spans="5:9" s="325" customFormat="1" ht="17.25" x14ac:dyDescent="0.3">
      <c r="E91" s="326"/>
      <c r="G91" s="326"/>
      <c r="H91" s="257"/>
      <c r="I91" s="257"/>
    </row>
    <row r="92" spans="5:9" s="325" customFormat="1" ht="17.25" x14ac:dyDescent="0.3">
      <c r="E92" s="326"/>
      <c r="G92" s="326"/>
      <c r="H92" s="257"/>
      <c r="I92" s="257"/>
    </row>
    <row r="93" spans="5:9" s="325" customFormat="1" ht="17.25" x14ac:dyDescent="0.3">
      <c r="E93" s="326"/>
      <c r="G93" s="326"/>
      <c r="H93" s="257"/>
      <c r="I93" s="257"/>
    </row>
    <row r="94" spans="5:9" s="325" customFormat="1" ht="17.25" x14ac:dyDescent="0.3">
      <c r="E94" s="326"/>
      <c r="G94" s="326"/>
      <c r="H94" s="257"/>
      <c r="I94" s="257"/>
    </row>
    <row r="95" spans="5:9" s="325" customFormat="1" ht="17.25" x14ac:dyDescent="0.3">
      <c r="E95" s="326"/>
      <c r="G95" s="326"/>
      <c r="H95" s="257"/>
      <c r="I95" s="257"/>
    </row>
    <row r="96" spans="5:9" s="325" customFormat="1" ht="17.25" x14ac:dyDescent="0.3">
      <c r="E96" s="326"/>
      <c r="G96" s="326"/>
      <c r="H96" s="257"/>
      <c r="I96" s="257"/>
    </row>
    <row r="97" spans="5:9" s="325" customFormat="1" ht="17.25" x14ac:dyDescent="0.3">
      <c r="E97" s="326"/>
      <c r="G97" s="326"/>
      <c r="H97" s="257"/>
      <c r="I97" s="257"/>
    </row>
    <row r="98" spans="5:9" s="325" customFormat="1" ht="17.25" x14ac:dyDescent="0.3">
      <c r="E98" s="326"/>
      <c r="G98" s="326"/>
      <c r="H98" s="257"/>
      <c r="I98" s="257"/>
    </row>
    <row r="99" spans="5:9" s="325" customFormat="1" ht="17.25" x14ac:dyDescent="0.3">
      <c r="E99" s="326"/>
      <c r="G99" s="326"/>
      <c r="H99" s="257"/>
      <c r="I99" s="257"/>
    </row>
    <row r="100" spans="5:9" s="325" customFormat="1" ht="17.25" x14ac:dyDescent="0.3">
      <c r="E100" s="326"/>
      <c r="G100" s="326"/>
      <c r="H100" s="257"/>
      <c r="I100" s="257"/>
    </row>
    <row r="101" spans="5:9" s="325" customFormat="1" ht="17.25" x14ac:dyDescent="0.3">
      <c r="E101" s="326"/>
      <c r="G101" s="326"/>
      <c r="H101" s="257"/>
      <c r="I101" s="257"/>
    </row>
  </sheetData>
  <mergeCells count="38">
    <mergeCell ref="G52:G53"/>
    <mergeCell ref="C24:C34"/>
    <mergeCell ref="D24:D30"/>
    <mergeCell ref="D10:D11"/>
    <mergeCell ref="D20:D22"/>
    <mergeCell ref="G43:G44"/>
    <mergeCell ref="F48:F50"/>
    <mergeCell ref="D51:D54"/>
    <mergeCell ref="F51:F54"/>
    <mergeCell ref="D41:D42"/>
    <mergeCell ref="D48:D50"/>
    <mergeCell ref="A1:F1"/>
    <mergeCell ref="B5:B23"/>
    <mergeCell ref="C5:C23"/>
    <mergeCell ref="D6:D9"/>
    <mergeCell ref="F6:F9"/>
    <mergeCell ref="F10:F11"/>
    <mergeCell ref="D12:D15"/>
    <mergeCell ref="F12:F15"/>
    <mergeCell ref="D16:D19"/>
    <mergeCell ref="F16:F19"/>
    <mergeCell ref="F20:F22"/>
    <mergeCell ref="B24:B34"/>
    <mergeCell ref="B55:B61"/>
    <mergeCell ref="C55:C61"/>
    <mergeCell ref="D55:D61"/>
    <mergeCell ref="F24:F29"/>
    <mergeCell ref="D31:D34"/>
    <mergeCell ref="F31:F34"/>
    <mergeCell ref="B35:B54"/>
    <mergeCell ref="C35:C54"/>
    <mergeCell ref="D35:D40"/>
    <mergeCell ref="F35:F40"/>
    <mergeCell ref="F41:F42"/>
    <mergeCell ref="D43:D44"/>
    <mergeCell ref="F43:F44"/>
    <mergeCell ref="D45:D46"/>
    <mergeCell ref="F45:F46"/>
  </mergeCells>
  <phoneticPr fontId="1" type="noConversion"/>
  <printOptions horizontalCentered="1"/>
  <pageMargins left="0.39370078740157483" right="0.39370078740157483" top="0.78740157480314965" bottom="0.19685039370078741" header="0.31496062992125984" footer="0.31496062992125984"/>
  <pageSetup paperSize="9" scale="47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15"/>
  <sheetViews>
    <sheetView view="pageBreakPreview" zoomScale="85" zoomScaleNormal="85" zoomScaleSheetLayoutView="85" workbookViewId="0">
      <selection activeCell="D31" sqref="D31"/>
    </sheetView>
  </sheetViews>
  <sheetFormatPr defaultColWidth="9" defaultRowHeight="12" x14ac:dyDescent="0.3"/>
  <cols>
    <col min="1" max="1" width="1.125" style="40" customWidth="1"/>
    <col min="2" max="2" width="5.875" style="40" customWidth="1"/>
    <col min="3" max="3" width="9.375" style="40" customWidth="1"/>
    <col min="4" max="4" width="74.625" style="40" customWidth="1"/>
    <col min="5" max="5" width="16.875" style="40" customWidth="1"/>
    <col min="6" max="7" width="9" style="40"/>
    <col min="8" max="8" width="5.375" style="40" customWidth="1"/>
    <col min="9" max="16384" width="9" style="40"/>
  </cols>
  <sheetData>
    <row r="1" spans="2:7" ht="8.25" customHeight="1" x14ac:dyDescent="0.3"/>
    <row r="2" spans="2:7" ht="35.1" customHeight="1" x14ac:dyDescent="0.3">
      <c r="B2" s="655" t="s">
        <v>24</v>
      </c>
      <c r="C2" s="656"/>
      <c r="D2" s="656"/>
    </row>
    <row r="3" spans="2:7" ht="9.75" customHeight="1" x14ac:dyDescent="0.3">
      <c r="B3" s="657"/>
      <c r="C3" s="658"/>
      <c r="D3" s="658"/>
    </row>
    <row r="4" spans="2:7" ht="15.75" customHeight="1" thickBot="1" x14ac:dyDescent="0.35">
      <c r="B4" s="41"/>
      <c r="C4" s="42"/>
      <c r="D4" s="43"/>
      <c r="E4" s="43" t="s">
        <v>25</v>
      </c>
    </row>
    <row r="5" spans="2:7" ht="30" customHeight="1" x14ac:dyDescent="0.3">
      <c r="B5" s="44" t="s">
        <v>26</v>
      </c>
      <c r="C5" s="45" t="s">
        <v>27</v>
      </c>
      <c r="D5" s="46" t="s">
        <v>28</v>
      </c>
      <c r="E5" s="47" t="s">
        <v>29</v>
      </c>
    </row>
    <row r="6" spans="2:7" ht="231" customHeight="1" x14ac:dyDescent="0.3">
      <c r="B6" s="48">
        <v>1</v>
      </c>
      <c r="C6" s="49" t="s">
        <v>30</v>
      </c>
      <c r="D6" s="50" t="s">
        <v>31</v>
      </c>
      <c r="E6" s="51"/>
    </row>
    <row r="7" spans="2:7" ht="252" customHeight="1" x14ac:dyDescent="0.3">
      <c r="B7" s="52">
        <v>2</v>
      </c>
      <c r="C7" s="53" t="s">
        <v>32</v>
      </c>
      <c r="D7" s="54" t="s">
        <v>33</v>
      </c>
      <c r="E7" s="55" t="s">
        <v>34</v>
      </c>
    </row>
    <row r="8" spans="2:7" ht="165.75" customHeight="1" x14ac:dyDescent="0.3">
      <c r="B8" s="52">
        <v>3</v>
      </c>
      <c r="C8" s="53" t="s">
        <v>35</v>
      </c>
      <c r="D8" s="56" t="s">
        <v>36</v>
      </c>
      <c r="E8" s="57" t="s">
        <v>37</v>
      </c>
    </row>
    <row r="9" spans="2:7" ht="157.5" customHeight="1" x14ac:dyDescent="0.3">
      <c r="B9" s="52">
        <v>4</v>
      </c>
      <c r="C9" s="53" t="s">
        <v>38</v>
      </c>
      <c r="D9" s="58" t="s">
        <v>39</v>
      </c>
      <c r="E9" s="59"/>
    </row>
    <row r="10" spans="2:7" ht="116.25" customHeight="1" x14ac:dyDescent="0.3">
      <c r="B10" s="52">
        <v>5</v>
      </c>
      <c r="C10" s="53" t="s">
        <v>40</v>
      </c>
      <c r="D10" s="58" t="s">
        <v>41</v>
      </c>
      <c r="E10" s="60"/>
      <c r="G10" s="61"/>
    </row>
    <row r="11" spans="2:7" ht="132" customHeight="1" x14ac:dyDescent="0.3">
      <c r="B11" s="52">
        <v>6</v>
      </c>
      <c r="C11" s="62" t="s">
        <v>42</v>
      </c>
      <c r="D11" s="58" t="s">
        <v>43</v>
      </c>
      <c r="E11" s="60"/>
    </row>
    <row r="12" spans="2:7" ht="132" customHeight="1" thickBot="1" x14ac:dyDescent="0.35">
      <c r="B12" s="63">
        <v>7</v>
      </c>
      <c r="C12" s="64" t="s">
        <v>44</v>
      </c>
      <c r="D12" s="65" t="s">
        <v>45</v>
      </c>
      <c r="E12" s="66"/>
    </row>
    <row r="13" spans="2:7" ht="42.75" customHeight="1" x14ac:dyDescent="0.3">
      <c r="B13" s="659" t="s">
        <v>46</v>
      </c>
      <c r="C13" s="659"/>
      <c r="D13" s="659"/>
      <c r="E13" s="659"/>
    </row>
    <row r="14" spans="2:7" ht="6.75" customHeight="1" x14ac:dyDescent="0.3"/>
    <row r="15" spans="2:7" ht="15" customHeight="1" x14ac:dyDescent="0.3"/>
  </sheetData>
  <mergeCells count="3">
    <mergeCell ref="B2:D2"/>
    <mergeCell ref="B3:D3"/>
    <mergeCell ref="B13:E13"/>
  </mergeCells>
  <phoneticPr fontId="1" type="noConversion"/>
  <pageMargins left="0.70866141732283472" right="0.70866141732283472" top="0.74803149606299213" bottom="0.55118110236220474" header="0.31496062992125984" footer="0.31496062992125984"/>
  <pageSetup paperSize="9"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33"/>
  <sheetViews>
    <sheetView showGridLines="0" view="pageBreakPreview" topLeftCell="A19" zoomScale="70" zoomScaleNormal="70" zoomScaleSheetLayoutView="70" workbookViewId="0">
      <selection activeCell="E50" sqref="E50"/>
    </sheetView>
  </sheetViews>
  <sheetFormatPr defaultColWidth="9" defaultRowHeight="28.5" customHeight="1" x14ac:dyDescent="0.3"/>
  <cols>
    <col min="1" max="1" width="10.125" style="325" customWidth="1"/>
    <col min="2" max="2" width="11.5" style="325" customWidth="1"/>
    <col min="3" max="3" width="15.875" style="325" customWidth="1"/>
    <col min="4" max="4" width="17.875" style="325" customWidth="1"/>
    <col min="5" max="5" width="80.625" style="328" customWidth="1"/>
    <col min="6" max="6" width="13.5" style="325" customWidth="1"/>
    <col min="7" max="7" width="15" style="326" customWidth="1"/>
    <col min="8" max="8" width="1" style="257" customWidth="1"/>
    <col min="9" max="9" width="9" style="257" customWidth="1"/>
    <col min="10" max="16384" width="9" style="257"/>
  </cols>
  <sheetData>
    <row r="1" spans="1:7" s="243" customFormat="1" ht="52.5" customHeight="1" x14ac:dyDescent="0.3">
      <c r="A1" s="580" t="s">
        <v>780</v>
      </c>
      <c r="B1" s="580"/>
      <c r="C1" s="580"/>
      <c r="D1" s="580"/>
      <c r="E1" s="580"/>
      <c r="F1" s="580"/>
      <c r="G1" s="503"/>
    </row>
    <row r="2" spans="1:7" s="243" customFormat="1" ht="24.95" customHeight="1" x14ac:dyDescent="0.3">
      <c r="A2" s="244" t="s">
        <v>781</v>
      </c>
      <c r="B2" s="246"/>
      <c r="C2" s="246"/>
      <c r="D2" s="246"/>
      <c r="E2" s="247"/>
      <c r="F2" s="246"/>
      <c r="G2" s="245"/>
    </row>
    <row r="3" spans="1:7" s="243" customFormat="1" ht="24.95" customHeight="1" thickBot="1" x14ac:dyDescent="0.35">
      <c r="A3" s="244" t="s">
        <v>782</v>
      </c>
      <c r="B3" s="246"/>
      <c r="C3" s="246"/>
      <c r="D3" s="246"/>
      <c r="E3" s="247"/>
      <c r="F3" s="248" t="s">
        <v>783</v>
      </c>
    </row>
    <row r="4" spans="1:7" s="250" customFormat="1" ht="24.95" customHeight="1" thickBot="1" x14ac:dyDescent="0.35">
      <c r="A4" s="344" t="s">
        <v>784</v>
      </c>
      <c r="B4" s="346" t="s">
        <v>94</v>
      </c>
      <c r="C4" s="346" t="s">
        <v>785</v>
      </c>
      <c r="D4" s="346" t="s">
        <v>786</v>
      </c>
      <c r="E4" s="346" t="s">
        <v>787</v>
      </c>
      <c r="F4" s="249" t="s">
        <v>788</v>
      </c>
      <c r="G4" s="249" t="s">
        <v>789</v>
      </c>
    </row>
    <row r="5" spans="1:7" ht="20.100000000000001" customHeight="1" thickTop="1" x14ac:dyDescent="0.3">
      <c r="A5" s="251" t="s">
        <v>790</v>
      </c>
      <c r="B5" s="592" t="s">
        <v>791</v>
      </c>
      <c r="C5" s="595" t="s">
        <v>792</v>
      </c>
      <c r="D5" s="660" t="s">
        <v>793</v>
      </c>
      <c r="E5" s="360" t="s">
        <v>794</v>
      </c>
      <c r="F5" s="361"/>
      <c r="G5" s="362"/>
    </row>
    <row r="6" spans="1:7" ht="20.100000000000001" customHeight="1" x14ac:dyDescent="0.3">
      <c r="A6" s="251" t="s">
        <v>376</v>
      </c>
      <c r="B6" s="593"/>
      <c r="C6" s="596"/>
      <c r="D6" s="584"/>
      <c r="E6" s="258" t="s">
        <v>795</v>
      </c>
      <c r="F6" s="505"/>
      <c r="G6" s="259"/>
    </row>
    <row r="7" spans="1:7" ht="20.100000000000001" customHeight="1" x14ac:dyDescent="0.3">
      <c r="A7" s="251"/>
      <c r="B7" s="593"/>
      <c r="C7" s="596"/>
      <c r="D7" s="584"/>
      <c r="E7" s="265" t="s">
        <v>796</v>
      </c>
      <c r="F7" s="505"/>
      <c r="G7" s="259"/>
    </row>
    <row r="8" spans="1:7" ht="20.100000000000001" customHeight="1" x14ac:dyDescent="0.3">
      <c r="A8" s="251"/>
      <c r="B8" s="593"/>
      <c r="C8" s="596"/>
      <c r="D8" s="585"/>
      <c r="E8" s="258" t="s">
        <v>797</v>
      </c>
      <c r="F8" s="505"/>
      <c r="G8" s="259"/>
    </row>
    <row r="9" spans="1:7" ht="20.100000000000001" customHeight="1" x14ac:dyDescent="0.3">
      <c r="A9" s="251"/>
      <c r="B9" s="593"/>
      <c r="C9" s="596"/>
      <c r="D9" s="598" t="s">
        <v>798</v>
      </c>
      <c r="E9" s="509" t="s">
        <v>799</v>
      </c>
      <c r="F9" s="601" t="s">
        <v>800</v>
      </c>
      <c r="G9" s="507"/>
    </row>
    <row r="10" spans="1:7" ht="20.100000000000001" customHeight="1" x14ac:dyDescent="0.3">
      <c r="A10" s="251"/>
      <c r="B10" s="593"/>
      <c r="C10" s="596"/>
      <c r="D10" s="599"/>
      <c r="E10" s="510" t="s">
        <v>801</v>
      </c>
      <c r="F10" s="602"/>
      <c r="G10" s="364" t="s">
        <v>802</v>
      </c>
    </row>
    <row r="11" spans="1:7" ht="20.100000000000001" customHeight="1" x14ac:dyDescent="0.3">
      <c r="A11" s="251"/>
      <c r="B11" s="593"/>
      <c r="C11" s="596"/>
      <c r="D11" s="599"/>
      <c r="E11" s="365" t="s">
        <v>803</v>
      </c>
      <c r="F11" s="602"/>
      <c r="G11" s="370"/>
    </row>
    <row r="12" spans="1:7" ht="20.100000000000001" customHeight="1" x14ac:dyDescent="0.3">
      <c r="A12" s="251"/>
      <c r="B12" s="593"/>
      <c r="C12" s="596"/>
      <c r="D12" s="599"/>
      <c r="E12" s="258" t="s">
        <v>804</v>
      </c>
      <c r="F12" s="602"/>
      <c r="G12" s="259"/>
    </row>
    <row r="13" spans="1:7" ht="20.100000000000001" customHeight="1" x14ac:dyDescent="0.3">
      <c r="A13" s="251"/>
      <c r="B13" s="593"/>
      <c r="C13" s="596"/>
      <c r="D13" s="600"/>
      <c r="E13" s="511" t="s">
        <v>805</v>
      </c>
      <c r="F13" s="603"/>
      <c r="G13" s="508"/>
    </row>
    <row r="14" spans="1:7" ht="20.100000000000001" customHeight="1" x14ac:dyDescent="0.3">
      <c r="A14" s="251"/>
      <c r="B14" s="593"/>
      <c r="C14" s="596"/>
      <c r="D14" s="598" t="s">
        <v>806</v>
      </c>
      <c r="E14" s="349" t="s">
        <v>807</v>
      </c>
      <c r="F14" s="624" t="s">
        <v>808</v>
      </c>
      <c r="G14" s="661"/>
    </row>
    <row r="15" spans="1:7" ht="20.100000000000001" customHeight="1" x14ac:dyDescent="0.3">
      <c r="A15" s="251"/>
      <c r="B15" s="593"/>
      <c r="C15" s="596"/>
      <c r="D15" s="600"/>
      <c r="E15" s="267" t="s">
        <v>809</v>
      </c>
      <c r="F15" s="635"/>
      <c r="G15" s="662"/>
    </row>
    <row r="16" spans="1:7" ht="20.100000000000001" customHeight="1" x14ac:dyDescent="0.3">
      <c r="A16" s="251"/>
      <c r="B16" s="594"/>
      <c r="C16" s="597"/>
      <c r="D16" s="272" t="s">
        <v>810</v>
      </c>
      <c r="E16" s="273" t="s">
        <v>122</v>
      </c>
      <c r="F16" s="506" t="s">
        <v>811</v>
      </c>
      <c r="G16" s="312"/>
    </row>
    <row r="17" spans="1:7" ht="20.100000000000001" customHeight="1" x14ac:dyDescent="0.3">
      <c r="A17" s="251"/>
      <c r="B17" s="630" t="s">
        <v>812</v>
      </c>
      <c r="C17" s="616" t="s">
        <v>124</v>
      </c>
      <c r="D17" s="663" t="s">
        <v>813</v>
      </c>
      <c r="E17" s="258" t="s">
        <v>814</v>
      </c>
      <c r="F17" s="665" t="s">
        <v>815</v>
      </c>
      <c r="G17" s="259"/>
    </row>
    <row r="18" spans="1:7" ht="20.100000000000001" customHeight="1" x14ac:dyDescent="0.3">
      <c r="A18" s="251"/>
      <c r="B18" s="631"/>
      <c r="C18" s="596"/>
      <c r="D18" s="664"/>
      <c r="E18" s="267" t="s">
        <v>816</v>
      </c>
      <c r="F18" s="666"/>
      <c r="G18" s="271"/>
    </row>
    <row r="19" spans="1:7" ht="20.100000000000001" customHeight="1" x14ac:dyDescent="0.3">
      <c r="A19" s="251"/>
      <c r="B19" s="631"/>
      <c r="C19" s="596"/>
      <c r="D19" s="667" t="s">
        <v>817</v>
      </c>
      <c r="E19" s="258" t="s">
        <v>818</v>
      </c>
      <c r="F19" s="601" t="s">
        <v>819</v>
      </c>
      <c r="G19" s="259"/>
    </row>
    <row r="20" spans="1:7" ht="20.100000000000001" customHeight="1" x14ac:dyDescent="0.3">
      <c r="A20" s="251"/>
      <c r="B20" s="631"/>
      <c r="C20" s="596"/>
      <c r="D20" s="589"/>
      <c r="E20" s="258" t="s">
        <v>820</v>
      </c>
      <c r="F20" s="668"/>
      <c r="G20" s="259"/>
    </row>
    <row r="21" spans="1:7" ht="20.100000000000001" customHeight="1" x14ac:dyDescent="0.3">
      <c r="A21" s="251"/>
      <c r="B21" s="631"/>
      <c r="C21" s="596"/>
      <c r="D21" s="589"/>
      <c r="E21" s="258" t="s">
        <v>130</v>
      </c>
      <c r="F21" s="668"/>
      <c r="G21" s="259"/>
    </row>
    <row r="22" spans="1:7" ht="20.100000000000001" customHeight="1" x14ac:dyDescent="0.3">
      <c r="A22" s="251"/>
      <c r="B22" s="631"/>
      <c r="C22" s="596"/>
      <c r="D22" s="589"/>
      <c r="E22" s="258" t="s">
        <v>821</v>
      </c>
      <c r="F22" s="668"/>
      <c r="G22" s="259"/>
    </row>
    <row r="23" spans="1:7" ht="20.100000000000001" customHeight="1" x14ac:dyDescent="0.3">
      <c r="A23" s="251"/>
      <c r="B23" s="631"/>
      <c r="C23" s="596"/>
      <c r="D23" s="590"/>
      <c r="E23" s="267" t="s">
        <v>822</v>
      </c>
      <c r="F23" s="666"/>
      <c r="G23" s="271"/>
    </row>
    <row r="24" spans="1:7" ht="20.100000000000001" customHeight="1" x14ac:dyDescent="0.3">
      <c r="A24" s="251"/>
      <c r="B24" s="631"/>
      <c r="C24" s="596"/>
      <c r="D24" s="619" t="s">
        <v>378</v>
      </c>
      <c r="E24" s="258" t="s">
        <v>823</v>
      </c>
      <c r="F24" s="601" t="s">
        <v>824</v>
      </c>
      <c r="G24" s="259"/>
    </row>
    <row r="25" spans="1:7" ht="20.100000000000001" customHeight="1" x14ac:dyDescent="0.3">
      <c r="A25" s="251"/>
      <c r="B25" s="631"/>
      <c r="C25" s="596"/>
      <c r="D25" s="620"/>
      <c r="E25" s="363" t="s">
        <v>825</v>
      </c>
      <c r="F25" s="668"/>
      <c r="G25" s="364" t="s">
        <v>826</v>
      </c>
    </row>
    <row r="26" spans="1:7" ht="20.100000000000001" customHeight="1" x14ac:dyDescent="0.3">
      <c r="A26" s="251"/>
      <c r="B26" s="631"/>
      <c r="C26" s="596"/>
      <c r="D26" s="669"/>
      <c r="E26" s="267" t="s">
        <v>128</v>
      </c>
      <c r="F26" s="666"/>
      <c r="G26" s="271"/>
    </row>
    <row r="27" spans="1:7" ht="20.100000000000001" customHeight="1" x14ac:dyDescent="0.3">
      <c r="A27" s="251"/>
      <c r="B27" s="631"/>
      <c r="C27" s="596"/>
      <c r="D27" s="599" t="s">
        <v>827</v>
      </c>
      <c r="E27" s="258" t="s">
        <v>249</v>
      </c>
      <c r="F27" s="668" t="s">
        <v>377</v>
      </c>
      <c r="G27" s="259"/>
    </row>
    <row r="28" spans="1:7" ht="20.100000000000001" customHeight="1" x14ac:dyDescent="0.3">
      <c r="A28" s="251"/>
      <c r="B28" s="631"/>
      <c r="C28" s="596"/>
      <c r="D28" s="599"/>
      <c r="E28" s="258" t="s">
        <v>828</v>
      </c>
      <c r="F28" s="668"/>
      <c r="G28" s="259"/>
    </row>
    <row r="29" spans="1:7" ht="20.100000000000001" customHeight="1" x14ac:dyDescent="0.3">
      <c r="A29" s="251"/>
      <c r="B29" s="631"/>
      <c r="C29" s="596"/>
      <c r="D29" s="599"/>
      <c r="E29" s="258" t="s">
        <v>829</v>
      </c>
      <c r="F29" s="668"/>
      <c r="G29" s="259"/>
    </row>
    <row r="30" spans="1:7" ht="20.100000000000001" customHeight="1" x14ac:dyDescent="0.3">
      <c r="A30" s="251"/>
      <c r="B30" s="631"/>
      <c r="C30" s="596"/>
      <c r="D30" s="599"/>
      <c r="E30" s="258" t="s">
        <v>830</v>
      </c>
      <c r="F30" s="668"/>
      <c r="G30" s="259"/>
    </row>
    <row r="31" spans="1:7" ht="20.100000000000001" customHeight="1" x14ac:dyDescent="0.3">
      <c r="A31" s="251"/>
      <c r="B31" s="631"/>
      <c r="C31" s="596"/>
      <c r="D31" s="600"/>
      <c r="E31" s="258" t="s">
        <v>831</v>
      </c>
      <c r="F31" s="666"/>
      <c r="G31" s="259"/>
    </row>
    <row r="32" spans="1:7" ht="20.100000000000001" customHeight="1" x14ac:dyDescent="0.3">
      <c r="A32" s="251"/>
      <c r="B32" s="631"/>
      <c r="C32" s="596"/>
      <c r="D32" s="598" t="s">
        <v>832</v>
      </c>
      <c r="E32" s="263" t="s">
        <v>833</v>
      </c>
      <c r="F32" s="601" t="s">
        <v>377</v>
      </c>
      <c r="G32" s="270"/>
    </row>
    <row r="33" spans="1:7" ht="20.100000000000001" customHeight="1" x14ac:dyDescent="0.3">
      <c r="A33" s="251"/>
      <c r="B33" s="631"/>
      <c r="C33" s="596"/>
      <c r="D33" s="589"/>
      <c r="E33" s="258" t="s">
        <v>834</v>
      </c>
      <c r="F33" s="668"/>
      <c r="G33" s="259"/>
    </row>
    <row r="34" spans="1:7" ht="20.100000000000001" customHeight="1" x14ac:dyDescent="0.3">
      <c r="A34" s="251"/>
      <c r="B34" s="632"/>
      <c r="C34" s="597"/>
      <c r="D34" s="590"/>
      <c r="E34" s="267" t="s">
        <v>835</v>
      </c>
      <c r="F34" s="666"/>
      <c r="G34" s="271"/>
    </row>
    <row r="35" spans="1:7" ht="20.100000000000001" customHeight="1" x14ac:dyDescent="0.3">
      <c r="A35" s="251"/>
      <c r="B35" s="630" t="s">
        <v>117</v>
      </c>
      <c r="C35" s="616" t="s">
        <v>836</v>
      </c>
      <c r="D35" s="633" t="s">
        <v>379</v>
      </c>
      <c r="E35" s="275" t="s">
        <v>837</v>
      </c>
      <c r="F35" s="634" t="s">
        <v>838</v>
      </c>
      <c r="G35" s="276"/>
    </row>
    <row r="36" spans="1:7" ht="20.100000000000001" customHeight="1" x14ac:dyDescent="0.3">
      <c r="A36" s="251"/>
      <c r="B36" s="631"/>
      <c r="C36" s="596"/>
      <c r="D36" s="599"/>
      <c r="E36" s="365" t="s">
        <v>839</v>
      </c>
      <c r="F36" s="625"/>
      <c r="G36" s="364" t="s">
        <v>840</v>
      </c>
    </row>
    <row r="37" spans="1:7" ht="20.100000000000001" customHeight="1" x14ac:dyDescent="0.3">
      <c r="A37" s="251"/>
      <c r="B37" s="631"/>
      <c r="C37" s="596"/>
      <c r="D37" s="599"/>
      <c r="E37" s="265" t="s">
        <v>841</v>
      </c>
      <c r="F37" s="625"/>
      <c r="G37" s="259"/>
    </row>
    <row r="38" spans="1:7" ht="20.100000000000001" customHeight="1" x14ac:dyDescent="0.3">
      <c r="A38" s="251"/>
      <c r="B38" s="631"/>
      <c r="C38" s="596"/>
      <c r="D38" s="599"/>
      <c r="E38" s="258" t="s">
        <v>842</v>
      </c>
      <c r="F38" s="625"/>
      <c r="G38" s="259"/>
    </row>
    <row r="39" spans="1:7" ht="20.100000000000001" customHeight="1" x14ac:dyDescent="0.3">
      <c r="A39" s="251"/>
      <c r="B39" s="631"/>
      <c r="C39" s="596"/>
      <c r="D39" s="599"/>
      <c r="E39" s="258" t="s">
        <v>154</v>
      </c>
      <c r="F39" s="625"/>
      <c r="G39" s="259"/>
    </row>
    <row r="40" spans="1:7" ht="20.100000000000001" customHeight="1" x14ac:dyDescent="0.3">
      <c r="A40" s="251"/>
      <c r="B40" s="631"/>
      <c r="C40" s="596"/>
      <c r="D40" s="600"/>
      <c r="E40" s="267" t="s">
        <v>843</v>
      </c>
      <c r="F40" s="635"/>
      <c r="G40" s="271"/>
    </row>
    <row r="41" spans="1:7" ht="20.100000000000001" customHeight="1" x14ac:dyDescent="0.3">
      <c r="A41" s="251"/>
      <c r="B41" s="631"/>
      <c r="C41" s="596"/>
      <c r="D41" s="598" t="s">
        <v>844</v>
      </c>
      <c r="E41" s="263" t="s">
        <v>845</v>
      </c>
      <c r="F41" s="624" t="s">
        <v>846</v>
      </c>
      <c r="G41" s="270"/>
    </row>
    <row r="42" spans="1:7" ht="20.100000000000001" customHeight="1" x14ac:dyDescent="0.3">
      <c r="A42" s="251"/>
      <c r="B42" s="631"/>
      <c r="C42" s="596"/>
      <c r="D42" s="600"/>
      <c r="E42" s="267" t="s">
        <v>380</v>
      </c>
      <c r="F42" s="636"/>
      <c r="G42" s="271"/>
    </row>
    <row r="43" spans="1:7" ht="20.100000000000001" customHeight="1" x14ac:dyDescent="0.3">
      <c r="A43" s="251"/>
      <c r="B43" s="631"/>
      <c r="C43" s="596"/>
      <c r="D43" s="670" t="s">
        <v>847</v>
      </c>
      <c r="E43" s="263" t="s">
        <v>144</v>
      </c>
      <c r="F43" s="601" t="s">
        <v>848</v>
      </c>
      <c r="G43" s="366"/>
    </row>
    <row r="44" spans="1:7" ht="20.100000000000001" customHeight="1" x14ac:dyDescent="0.3">
      <c r="A44" s="251"/>
      <c r="B44" s="631"/>
      <c r="C44" s="596"/>
      <c r="D44" s="631"/>
      <c r="E44" s="365" t="s">
        <v>849</v>
      </c>
      <c r="F44" s="602"/>
      <c r="G44" s="367" t="s">
        <v>850</v>
      </c>
    </row>
    <row r="45" spans="1:7" ht="20.100000000000001" customHeight="1" x14ac:dyDescent="0.3">
      <c r="A45" s="251"/>
      <c r="B45" s="631"/>
      <c r="C45" s="596"/>
      <c r="D45" s="631"/>
      <c r="E45" s="365" t="s">
        <v>851</v>
      </c>
      <c r="F45" s="602"/>
      <c r="G45" s="367"/>
    </row>
    <row r="46" spans="1:7" ht="20.100000000000001" customHeight="1" x14ac:dyDescent="0.3">
      <c r="A46" s="251"/>
      <c r="B46" s="631"/>
      <c r="C46" s="596"/>
      <c r="D46" s="631"/>
      <c r="E46" s="363" t="s">
        <v>852</v>
      </c>
      <c r="F46" s="602"/>
      <c r="G46" s="367"/>
    </row>
    <row r="47" spans="1:7" ht="20.100000000000001" customHeight="1" x14ac:dyDescent="0.3">
      <c r="A47" s="251"/>
      <c r="B47" s="631"/>
      <c r="C47" s="596"/>
      <c r="D47" s="631"/>
      <c r="E47" s="365" t="s">
        <v>853</v>
      </c>
      <c r="F47" s="603"/>
      <c r="G47" s="368"/>
    </row>
    <row r="48" spans="1:7" ht="27.75" customHeight="1" x14ac:dyDescent="0.3">
      <c r="A48" s="251"/>
      <c r="B48" s="631"/>
      <c r="C48" s="596"/>
      <c r="D48" s="277" t="s">
        <v>164</v>
      </c>
      <c r="E48" s="278" t="s">
        <v>254</v>
      </c>
      <c r="F48" s="369"/>
      <c r="G48" s="357"/>
    </row>
    <row r="49" spans="1:7" ht="20.100000000000001" customHeight="1" x14ac:dyDescent="0.3">
      <c r="A49" s="251"/>
      <c r="B49" s="631"/>
      <c r="C49" s="596"/>
      <c r="D49" s="619" t="s">
        <v>854</v>
      </c>
      <c r="E49" s="263" t="s">
        <v>855</v>
      </c>
      <c r="F49" s="624" t="s">
        <v>381</v>
      </c>
      <c r="G49" s="270"/>
    </row>
    <row r="50" spans="1:7" ht="20.100000000000001" customHeight="1" x14ac:dyDescent="0.3">
      <c r="A50" s="251"/>
      <c r="B50" s="631"/>
      <c r="C50" s="596"/>
      <c r="D50" s="620"/>
      <c r="E50" s="258" t="s">
        <v>856</v>
      </c>
      <c r="F50" s="625"/>
      <c r="G50" s="259"/>
    </row>
    <row r="51" spans="1:7" ht="20.100000000000001" customHeight="1" x14ac:dyDescent="0.3">
      <c r="A51" s="251"/>
      <c r="B51" s="631"/>
      <c r="C51" s="596"/>
      <c r="D51" s="669"/>
      <c r="E51" s="267" t="s">
        <v>857</v>
      </c>
      <c r="F51" s="635"/>
      <c r="G51" s="271"/>
    </row>
    <row r="52" spans="1:7" ht="20.100000000000001" customHeight="1" x14ac:dyDescent="0.3">
      <c r="A52" s="251"/>
      <c r="B52" s="631"/>
      <c r="C52" s="596"/>
      <c r="D52" s="504" t="s">
        <v>858</v>
      </c>
      <c r="E52" s="263" t="s">
        <v>859</v>
      </c>
      <c r="F52" s="671" t="s">
        <v>860</v>
      </c>
      <c r="G52" s="259"/>
    </row>
    <row r="53" spans="1:7" ht="20.100000000000001" customHeight="1" x14ac:dyDescent="0.3">
      <c r="A53" s="251"/>
      <c r="B53" s="631"/>
      <c r="C53" s="596"/>
      <c r="D53" s="504"/>
      <c r="E53" s="267" t="s">
        <v>861</v>
      </c>
      <c r="F53" s="635"/>
      <c r="G53" s="271"/>
    </row>
    <row r="54" spans="1:7" ht="20.100000000000001" customHeight="1" x14ac:dyDescent="0.3">
      <c r="A54" s="251"/>
      <c r="B54" s="631"/>
      <c r="C54" s="596"/>
      <c r="D54" s="598" t="s">
        <v>862</v>
      </c>
      <c r="E54" s="365" t="s">
        <v>863</v>
      </c>
      <c r="F54" s="672" t="s">
        <v>846</v>
      </c>
      <c r="G54" s="370"/>
    </row>
    <row r="55" spans="1:7" ht="20.100000000000001" customHeight="1" x14ac:dyDescent="0.3">
      <c r="A55" s="251"/>
      <c r="B55" s="631"/>
      <c r="C55" s="596"/>
      <c r="D55" s="599"/>
      <c r="E55" s="371" t="s">
        <v>864</v>
      </c>
      <c r="F55" s="625"/>
      <c r="G55" s="499" t="s">
        <v>865</v>
      </c>
    </row>
    <row r="56" spans="1:7" ht="20.100000000000001" customHeight="1" x14ac:dyDescent="0.3">
      <c r="A56" s="251"/>
      <c r="B56" s="631"/>
      <c r="C56" s="596"/>
      <c r="D56" s="599"/>
      <c r="E56" s="371" t="s">
        <v>866</v>
      </c>
      <c r="F56" s="625"/>
      <c r="G56" s="372"/>
    </row>
    <row r="57" spans="1:7" ht="20.100000000000001" customHeight="1" x14ac:dyDescent="0.3">
      <c r="A57" s="373"/>
      <c r="B57" s="632"/>
      <c r="C57" s="597"/>
      <c r="D57" s="623"/>
      <c r="E57" s="374" t="s">
        <v>867</v>
      </c>
      <c r="F57" s="626"/>
      <c r="G57" s="375"/>
    </row>
    <row r="58" spans="1:7" ht="20.100000000000001" customHeight="1" x14ac:dyDescent="0.3">
      <c r="A58" s="251" t="s">
        <v>790</v>
      </c>
      <c r="B58" s="627" t="s">
        <v>868</v>
      </c>
      <c r="C58" s="616" t="s">
        <v>869</v>
      </c>
      <c r="D58" s="616" t="s">
        <v>870</v>
      </c>
      <c r="E58" s="281" t="s">
        <v>871</v>
      </c>
      <c r="F58" s="282"/>
      <c r="G58" s="283"/>
    </row>
    <row r="59" spans="1:7" ht="20.100000000000001" customHeight="1" x14ac:dyDescent="0.3">
      <c r="A59" s="251" t="s">
        <v>872</v>
      </c>
      <c r="B59" s="593"/>
      <c r="C59" s="596"/>
      <c r="D59" s="596"/>
      <c r="E59" s="284" t="s">
        <v>179</v>
      </c>
      <c r="F59" s="282"/>
      <c r="G59" s="283"/>
    </row>
    <row r="60" spans="1:7" ht="20.100000000000001" customHeight="1" x14ac:dyDescent="0.3">
      <c r="A60" s="251"/>
      <c r="B60" s="593"/>
      <c r="C60" s="596"/>
      <c r="D60" s="596"/>
      <c r="E60" s="284" t="s">
        <v>873</v>
      </c>
      <c r="F60" s="282"/>
      <c r="G60" s="283"/>
    </row>
    <row r="61" spans="1:7" ht="20.100000000000001" customHeight="1" x14ac:dyDescent="0.3">
      <c r="A61" s="251"/>
      <c r="B61" s="593"/>
      <c r="C61" s="596"/>
      <c r="D61" s="596"/>
      <c r="E61" s="284" t="s">
        <v>874</v>
      </c>
      <c r="F61" s="282"/>
      <c r="G61" s="283"/>
    </row>
    <row r="62" spans="1:7" ht="20.100000000000001" customHeight="1" x14ac:dyDescent="0.3">
      <c r="A62" s="251"/>
      <c r="B62" s="593"/>
      <c r="C62" s="596"/>
      <c r="D62" s="596"/>
      <c r="E62" s="284" t="s">
        <v>875</v>
      </c>
      <c r="F62" s="282"/>
      <c r="G62" s="283"/>
    </row>
    <row r="63" spans="1:7" ht="20.100000000000001" customHeight="1" x14ac:dyDescent="0.3">
      <c r="A63" s="251"/>
      <c r="B63" s="593"/>
      <c r="C63" s="596"/>
      <c r="D63" s="596"/>
      <c r="E63" s="284" t="s">
        <v>876</v>
      </c>
      <c r="F63" s="282"/>
      <c r="G63" s="283"/>
    </row>
    <row r="64" spans="1:7" ht="20.100000000000001" customHeight="1" thickBot="1" x14ac:dyDescent="0.35">
      <c r="A64" s="285"/>
      <c r="B64" s="628"/>
      <c r="C64" s="629"/>
      <c r="D64" s="629"/>
      <c r="E64" s="287" t="s">
        <v>877</v>
      </c>
      <c r="F64" s="288"/>
      <c r="G64" s="289"/>
    </row>
    <row r="65" spans="1:9" ht="15" customHeight="1" x14ac:dyDescent="0.3">
      <c r="A65" s="376"/>
      <c r="B65" s="292"/>
      <c r="C65" s="293"/>
      <c r="D65" s="291"/>
      <c r="E65" s="294"/>
      <c r="F65" s="295"/>
      <c r="G65" s="296"/>
    </row>
    <row r="66" spans="1:9" ht="8.25" customHeight="1" x14ac:dyDescent="0.3">
      <c r="A66" s="290"/>
      <c r="B66" s="298"/>
      <c r="C66" s="299"/>
      <c r="D66" s="297"/>
      <c r="E66" s="300"/>
      <c r="F66" s="301"/>
      <c r="G66" s="302"/>
    </row>
    <row r="67" spans="1:9" s="325" customFormat="1" ht="18" thickBot="1" x14ac:dyDescent="0.35">
      <c r="A67" s="303" t="s">
        <v>185</v>
      </c>
      <c r="E67" s="326"/>
      <c r="G67" s="326"/>
      <c r="H67" s="257"/>
      <c r="I67" s="257"/>
    </row>
    <row r="68" spans="1:9" s="325" customFormat="1" ht="21" customHeight="1" thickBot="1" x14ac:dyDescent="0.35">
      <c r="A68" s="344" t="s">
        <v>59</v>
      </c>
      <c r="B68" s="346" t="s">
        <v>878</v>
      </c>
      <c r="C68" s="346" t="s">
        <v>879</v>
      </c>
      <c r="D68" s="346" t="s">
        <v>60</v>
      </c>
      <c r="E68" s="346" t="s">
        <v>880</v>
      </c>
      <c r="F68" s="249" t="s">
        <v>881</v>
      </c>
      <c r="G68" s="249" t="s">
        <v>882</v>
      </c>
      <c r="H68" s="257"/>
      <c r="I68" s="257"/>
    </row>
    <row r="69" spans="1:9" s="325" customFormat="1" ht="18" thickTop="1" x14ac:dyDescent="0.3">
      <c r="A69" s="251" t="s">
        <v>883</v>
      </c>
      <c r="B69" s="637" t="s">
        <v>884</v>
      </c>
      <c r="C69" s="640" t="s">
        <v>885</v>
      </c>
      <c r="D69" s="640" t="s">
        <v>886</v>
      </c>
      <c r="E69" s="309" t="s">
        <v>188</v>
      </c>
      <c r="F69" s="310"/>
      <c r="G69" s="310"/>
      <c r="H69" s="257"/>
      <c r="I69" s="257"/>
    </row>
    <row r="70" spans="1:9" s="325" customFormat="1" ht="17.25" x14ac:dyDescent="0.3">
      <c r="A70" s="251" t="s">
        <v>887</v>
      </c>
      <c r="B70" s="638"/>
      <c r="C70" s="596"/>
      <c r="D70" s="596"/>
      <c r="E70" s="284" t="s">
        <v>888</v>
      </c>
      <c r="F70" s="259"/>
      <c r="G70" s="259"/>
      <c r="H70" s="257"/>
      <c r="I70" s="257"/>
    </row>
    <row r="71" spans="1:9" s="325" customFormat="1" ht="17.25" x14ac:dyDescent="0.3">
      <c r="A71" s="251"/>
      <c r="B71" s="638"/>
      <c r="C71" s="596"/>
      <c r="D71" s="596"/>
      <c r="E71" s="284" t="s">
        <v>889</v>
      </c>
      <c r="F71" s="259"/>
      <c r="G71" s="259"/>
      <c r="H71" s="257"/>
      <c r="I71" s="257"/>
    </row>
    <row r="72" spans="1:9" s="325" customFormat="1" ht="17.25" x14ac:dyDescent="0.3">
      <c r="A72" s="251"/>
      <c r="B72" s="638"/>
      <c r="C72" s="596"/>
      <c r="D72" s="596"/>
      <c r="E72" s="284" t="s">
        <v>890</v>
      </c>
      <c r="F72" s="259"/>
      <c r="G72" s="259"/>
      <c r="H72" s="257"/>
      <c r="I72" s="257"/>
    </row>
    <row r="73" spans="1:9" s="325" customFormat="1" ht="17.25" x14ac:dyDescent="0.3">
      <c r="A73" s="251"/>
      <c r="B73" s="638"/>
      <c r="C73" s="596"/>
      <c r="D73" s="596"/>
      <c r="E73" s="284" t="s">
        <v>891</v>
      </c>
      <c r="F73" s="259"/>
      <c r="G73" s="259"/>
      <c r="H73" s="257"/>
      <c r="I73" s="257"/>
    </row>
    <row r="74" spans="1:9" s="325" customFormat="1" ht="17.25" x14ac:dyDescent="0.3">
      <c r="A74" s="251"/>
      <c r="B74" s="638"/>
      <c r="C74" s="596"/>
      <c r="D74" s="596"/>
      <c r="E74" s="284" t="s">
        <v>183</v>
      </c>
      <c r="F74" s="259"/>
      <c r="G74" s="259"/>
      <c r="H74" s="257"/>
      <c r="I74" s="257"/>
    </row>
    <row r="75" spans="1:9" s="325" customFormat="1" ht="17.25" x14ac:dyDescent="0.3">
      <c r="A75" s="251"/>
      <c r="B75" s="638"/>
      <c r="C75" s="596"/>
      <c r="D75" s="596"/>
      <c r="E75" s="284" t="s">
        <v>892</v>
      </c>
      <c r="F75" s="259"/>
      <c r="G75" s="259"/>
      <c r="H75" s="257"/>
      <c r="I75" s="257"/>
    </row>
    <row r="76" spans="1:9" s="325" customFormat="1" ht="17.25" x14ac:dyDescent="0.3">
      <c r="A76" s="251"/>
      <c r="B76" s="639"/>
      <c r="C76" s="597"/>
      <c r="D76" s="597"/>
      <c r="E76" s="311" t="s">
        <v>893</v>
      </c>
      <c r="F76" s="312"/>
      <c r="G76" s="312"/>
      <c r="H76" s="257"/>
      <c r="I76" s="257"/>
    </row>
    <row r="77" spans="1:9" s="325" customFormat="1" ht="18" customHeight="1" x14ac:dyDescent="0.3">
      <c r="A77" s="251"/>
      <c r="B77" s="616" t="s">
        <v>894</v>
      </c>
      <c r="C77" s="641" t="s">
        <v>895</v>
      </c>
      <c r="D77" s="616" t="s">
        <v>896</v>
      </c>
      <c r="E77" s="313" t="s">
        <v>194</v>
      </c>
      <c r="F77" s="259"/>
      <c r="G77" s="259"/>
      <c r="H77" s="257"/>
      <c r="I77" s="257"/>
    </row>
    <row r="78" spans="1:9" s="325" customFormat="1" ht="17.25" x14ac:dyDescent="0.3">
      <c r="A78" s="251"/>
      <c r="B78" s="596"/>
      <c r="C78" s="642"/>
      <c r="D78" s="596"/>
      <c r="E78" s="314" t="s">
        <v>897</v>
      </c>
      <c r="F78" s="259"/>
      <c r="G78" s="259"/>
      <c r="H78" s="257"/>
      <c r="I78" s="257"/>
    </row>
    <row r="79" spans="1:9" s="325" customFormat="1" ht="17.25" x14ac:dyDescent="0.3">
      <c r="A79" s="251"/>
      <c r="B79" s="596"/>
      <c r="C79" s="642"/>
      <c r="D79" s="596"/>
      <c r="E79" s="314" t="s">
        <v>898</v>
      </c>
      <c r="F79" s="259"/>
      <c r="G79" s="259"/>
      <c r="H79" s="257"/>
      <c r="I79" s="257"/>
    </row>
    <row r="80" spans="1:9" s="325" customFormat="1" ht="17.25" x14ac:dyDescent="0.3">
      <c r="A80" s="251"/>
      <c r="B80" s="596"/>
      <c r="C80" s="642"/>
      <c r="D80" s="596"/>
      <c r="E80" s="314" t="s">
        <v>899</v>
      </c>
      <c r="F80" s="259"/>
      <c r="G80" s="259"/>
      <c r="H80" s="257"/>
      <c r="I80" s="257"/>
    </row>
    <row r="81" spans="1:9" s="325" customFormat="1" ht="17.25" x14ac:dyDescent="0.3">
      <c r="A81" s="251"/>
      <c r="B81" s="596"/>
      <c r="C81" s="642"/>
      <c r="D81" s="596"/>
      <c r="E81" s="314" t="s">
        <v>900</v>
      </c>
      <c r="F81" s="259"/>
      <c r="G81" s="259"/>
      <c r="H81" s="257"/>
      <c r="I81" s="257"/>
    </row>
    <row r="82" spans="1:9" s="325" customFormat="1" ht="17.25" x14ac:dyDescent="0.3">
      <c r="A82" s="251"/>
      <c r="B82" s="596"/>
      <c r="C82" s="642"/>
      <c r="D82" s="596"/>
      <c r="E82" s="314" t="s">
        <v>901</v>
      </c>
      <c r="F82" s="259"/>
      <c r="G82" s="259"/>
      <c r="H82" s="257"/>
      <c r="I82" s="257"/>
    </row>
    <row r="83" spans="1:9" s="325" customFormat="1" ht="17.25" x14ac:dyDescent="0.3">
      <c r="A83" s="251"/>
      <c r="B83" s="596"/>
      <c r="C83" s="642"/>
      <c r="D83" s="596"/>
      <c r="E83" s="314" t="s">
        <v>902</v>
      </c>
      <c r="F83" s="259"/>
      <c r="G83" s="259"/>
      <c r="H83" s="257"/>
      <c r="I83" s="257"/>
    </row>
    <row r="84" spans="1:9" s="325" customFormat="1" ht="17.25" customHeight="1" x14ac:dyDescent="0.3">
      <c r="A84" s="251"/>
      <c r="B84" s="597"/>
      <c r="C84" s="643"/>
      <c r="D84" s="597"/>
      <c r="E84" s="315" t="s">
        <v>903</v>
      </c>
      <c r="F84" s="312"/>
      <c r="G84" s="312"/>
      <c r="H84" s="257"/>
      <c r="I84" s="257"/>
    </row>
    <row r="85" spans="1:9" s="325" customFormat="1" ht="17.25" x14ac:dyDescent="0.3">
      <c r="A85" s="251"/>
      <c r="B85" s="644" t="s">
        <v>904</v>
      </c>
      <c r="C85" s="641" t="s">
        <v>905</v>
      </c>
      <c r="D85" s="644" t="s">
        <v>906</v>
      </c>
      <c r="E85" s="316" t="s">
        <v>907</v>
      </c>
      <c r="F85" s="259"/>
      <c r="G85" s="259"/>
      <c r="H85" s="257"/>
      <c r="I85" s="257"/>
    </row>
    <row r="86" spans="1:9" s="325" customFormat="1" ht="17.25" x14ac:dyDescent="0.3">
      <c r="A86" s="251"/>
      <c r="B86" s="638"/>
      <c r="C86" s="642"/>
      <c r="D86" s="638"/>
      <c r="E86" s="314" t="s">
        <v>908</v>
      </c>
      <c r="F86" s="259"/>
      <c r="G86" s="259"/>
      <c r="H86" s="257"/>
      <c r="I86" s="257"/>
    </row>
    <row r="87" spans="1:9" s="325" customFormat="1" ht="17.25" x14ac:dyDescent="0.3">
      <c r="A87" s="251"/>
      <c r="B87" s="638"/>
      <c r="C87" s="642"/>
      <c r="D87" s="638"/>
      <c r="E87" s="316" t="s">
        <v>909</v>
      </c>
      <c r="F87" s="259"/>
      <c r="G87" s="259"/>
      <c r="H87" s="257"/>
      <c r="I87" s="257"/>
    </row>
    <row r="88" spans="1:9" s="325" customFormat="1" ht="17.25" x14ac:dyDescent="0.3">
      <c r="A88" s="251"/>
      <c r="B88" s="638"/>
      <c r="C88" s="642"/>
      <c r="D88" s="638"/>
      <c r="E88" s="316" t="s">
        <v>910</v>
      </c>
      <c r="F88" s="259"/>
      <c r="G88" s="259"/>
      <c r="H88" s="257"/>
      <c r="I88" s="257"/>
    </row>
    <row r="89" spans="1:9" s="325" customFormat="1" ht="17.25" x14ac:dyDescent="0.3">
      <c r="A89" s="251"/>
      <c r="B89" s="638"/>
      <c r="C89" s="642"/>
      <c r="D89" s="638"/>
      <c r="E89" s="314" t="s">
        <v>911</v>
      </c>
      <c r="F89" s="259"/>
      <c r="G89" s="259"/>
      <c r="H89" s="257"/>
      <c r="I89" s="257"/>
    </row>
    <row r="90" spans="1:9" s="325" customFormat="1" ht="17.25" x14ac:dyDescent="0.3">
      <c r="A90" s="251"/>
      <c r="B90" s="638"/>
      <c r="C90" s="642"/>
      <c r="D90" s="638"/>
      <c r="E90" s="317" t="s">
        <v>78</v>
      </c>
      <c r="F90" s="259"/>
      <c r="G90" s="259"/>
      <c r="H90" s="257"/>
      <c r="I90" s="257"/>
    </row>
    <row r="91" spans="1:9" s="325" customFormat="1" ht="17.25" x14ac:dyDescent="0.3">
      <c r="A91" s="251"/>
      <c r="B91" s="638"/>
      <c r="C91" s="642"/>
      <c r="D91" s="638"/>
      <c r="E91" s="317" t="s">
        <v>912</v>
      </c>
      <c r="F91" s="259"/>
      <c r="G91" s="259"/>
      <c r="H91" s="257"/>
      <c r="I91" s="257"/>
    </row>
    <row r="92" spans="1:9" s="325" customFormat="1" ht="17.25" x14ac:dyDescent="0.3">
      <c r="A92" s="251"/>
      <c r="B92" s="638"/>
      <c r="C92" s="642"/>
      <c r="D92" s="638"/>
      <c r="E92" s="314" t="s">
        <v>913</v>
      </c>
      <c r="F92" s="259"/>
      <c r="G92" s="259"/>
      <c r="H92" s="257"/>
      <c r="I92" s="257"/>
    </row>
    <row r="93" spans="1:9" s="325" customFormat="1" ht="17.25" customHeight="1" x14ac:dyDescent="0.3">
      <c r="A93" s="251"/>
      <c r="B93" s="639"/>
      <c r="C93" s="643"/>
      <c r="D93" s="639"/>
      <c r="E93" s="512" t="s">
        <v>914</v>
      </c>
      <c r="F93" s="312"/>
      <c r="G93" s="513" t="s">
        <v>915</v>
      </c>
      <c r="H93" s="257"/>
      <c r="I93" s="257"/>
    </row>
    <row r="94" spans="1:9" s="325" customFormat="1" ht="17.25" x14ac:dyDescent="0.3">
      <c r="A94" s="251"/>
      <c r="B94" s="644" t="s">
        <v>916</v>
      </c>
      <c r="C94" s="641" t="s">
        <v>895</v>
      </c>
      <c r="D94" s="644" t="s">
        <v>917</v>
      </c>
      <c r="E94" s="318" t="s">
        <v>918</v>
      </c>
      <c r="F94" s="276"/>
      <c r="G94" s="276"/>
      <c r="H94" s="257"/>
      <c r="I94" s="257"/>
    </row>
    <row r="95" spans="1:9" s="325" customFormat="1" ht="17.25" x14ac:dyDescent="0.3">
      <c r="A95" s="251"/>
      <c r="B95" s="638"/>
      <c r="C95" s="642"/>
      <c r="D95" s="638"/>
      <c r="E95" s="314" t="s">
        <v>919</v>
      </c>
      <c r="F95" s="319"/>
      <c r="G95" s="319"/>
      <c r="H95" s="257"/>
      <c r="I95" s="257"/>
    </row>
    <row r="96" spans="1:9" s="325" customFormat="1" ht="17.25" x14ac:dyDescent="0.3">
      <c r="A96" s="251"/>
      <c r="B96" s="638"/>
      <c r="C96" s="642"/>
      <c r="D96" s="638"/>
      <c r="E96" s="316" t="s">
        <v>920</v>
      </c>
      <c r="F96" s="319"/>
      <c r="G96" s="319"/>
      <c r="H96" s="257"/>
      <c r="I96" s="257"/>
    </row>
    <row r="97" spans="1:9" s="325" customFormat="1" ht="17.25" x14ac:dyDescent="0.3">
      <c r="A97" s="251"/>
      <c r="B97" s="638"/>
      <c r="C97" s="642"/>
      <c r="D97" s="638"/>
      <c r="E97" s="316" t="s">
        <v>921</v>
      </c>
      <c r="F97" s="319"/>
      <c r="G97" s="319"/>
      <c r="H97" s="257"/>
      <c r="I97" s="257"/>
    </row>
    <row r="98" spans="1:9" s="325" customFormat="1" ht="17.25" x14ac:dyDescent="0.3">
      <c r="A98" s="251"/>
      <c r="B98" s="638"/>
      <c r="C98" s="642"/>
      <c r="D98" s="638"/>
      <c r="E98" s="314" t="s">
        <v>74</v>
      </c>
      <c r="F98" s="319"/>
      <c r="G98" s="319"/>
      <c r="H98" s="257"/>
      <c r="I98" s="257"/>
    </row>
    <row r="99" spans="1:9" s="325" customFormat="1" ht="17.25" x14ac:dyDescent="0.3">
      <c r="A99" s="251"/>
      <c r="B99" s="638"/>
      <c r="C99" s="642"/>
      <c r="D99" s="638"/>
      <c r="E99" s="317" t="s">
        <v>922</v>
      </c>
      <c r="F99" s="319"/>
      <c r="G99" s="319"/>
      <c r="H99" s="257"/>
      <c r="I99" s="257"/>
    </row>
    <row r="100" spans="1:9" s="325" customFormat="1" ht="17.25" x14ac:dyDescent="0.3">
      <c r="A100" s="251"/>
      <c r="B100" s="638"/>
      <c r="C100" s="642"/>
      <c r="D100" s="638"/>
      <c r="E100" s="314" t="s">
        <v>923</v>
      </c>
      <c r="F100" s="319"/>
      <c r="G100" s="319"/>
      <c r="H100" s="257"/>
      <c r="I100" s="257"/>
    </row>
    <row r="101" spans="1:9" s="325" customFormat="1" ht="17.25" x14ac:dyDescent="0.3">
      <c r="A101" s="251"/>
      <c r="B101" s="639"/>
      <c r="C101" s="643"/>
      <c r="D101" s="639"/>
      <c r="E101" s="512" t="s">
        <v>924</v>
      </c>
      <c r="F101" s="320"/>
      <c r="G101" s="513" t="s">
        <v>925</v>
      </c>
      <c r="H101" s="257"/>
      <c r="I101" s="257"/>
    </row>
    <row r="102" spans="1:9" s="325" customFormat="1" ht="18" customHeight="1" x14ac:dyDescent="0.3">
      <c r="A102" s="251"/>
      <c r="B102" s="616" t="s">
        <v>926</v>
      </c>
      <c r="C102" s="641" t="s">
        <v>69</v>
      </c>
      <c r="D102" s="616" t="s">
        <v>927</v>
      </c>
      <c r="E102" s="313" t="s">
        <v>928</v>
      </c>
      <c r="F102" s="319"/>
      <c r="G102" s="319"/>
      <c r="H102" s="257"/>
      <c r="I102" s="257"/>
    </row>
    <row r="103" spans="1:9" s="325" customFormat="1" ht="18" customHeight="1" x14ac:dyDescent="0.3">
      <c r="A103" s="251"/>
      <c r="B103" s="596"/>
      <c r="C103" s="642"/>
      <c r="D103" s="596"/>
      <c r="E103" s="314" t="s">
        <v>929</v>
      </c>
      <c r="F103" s="319"/>
      <c r="G103" s="319"/>
      <c r="H103" s="257"/>
      <c r="I103" s="257"/>
    </row>
    <row r="104" spans="1:9" s="325" customFormat="1" ht="18" customHeight="1" x14ac:dyDescent="0.3">
      <c r="A104" s="251"/>
      <c r="B104" s="596"/>
      <c r="C104" s="642"/>
      <c r="D104" s="596"/>
      <c r="E104" s="314" t="s">
        <v>930</v>
      </c>
      <c r="F104" s="319"/>
      <c r="G104" s="319"/>
      <c r="H104" s="257"/>
      <c r="I104" s="257"/>
    </row>
    <row r="105" spans="1:9" s="325" customFormat="1" ht="18" customHeight="1" x14ac:dyDescent="0.3">
      <c r="A105" s="251"/>
      <c r="B105" s="596"/>
      <c r="C105" s="642"/>
      <c r="D105" s="596"/>
      <c r="E105" s="316" t="s">
        <v>931</v>
      </c>
      <c r="F105" s="319"/>
      <c r="G105" s="319"/>
      <c r="H105" s="257"/>
      <c r="I105" s="257"/>
    </row>
    <row r="106" spans="1:9" s="325" customFormat="1" ht="18" customHeight="1" x14ac:dyDescent="0.3">
      <c r="A106" s="251"/>
      <c r="B106" s="596"/>
      <c r="C106" s="642"/>
      <c r="D106" s="596"/>
      <c r="E106" s="316" t="s">
        <v>216</v>
      </c>
      <c r="F106" s="319"/>
      <c r="G106" s="319"/>
      <c r="H106" s="257"/>
      <c r="I106" s="257"/>
    </row>
    <row r="107" spans="1:9" ht="18" customHeight="1" x14ac:dyDescent="0.3">
      <c r="A107" s="251"/>
      <c r="B107" s="596"/>
      <c r="C107" s="642"/>
      <c r="D107" s="596"/>
      <c r="E107" s="316" t="s">
        <v>932</v>
      </c>
      <c r="F107" s="319"/>
      <c r="G107" s="319"/>
    </row>
    <row r="108" spans="1:9" ht="18" customHeight="1" x14ac:dyDescent="0.3">
      <c r="A108" s="251"/>
      <c r="B108" s="597"/>
      <c r="C108" s="643"/>
      <c r="D108" s="597"/>
      <c r="E108" s="321" t="s">
        <v>933</v>
      </c>
      <c r="F108" s="320"/>
      <c r="G108" s="320"/>
    </row>
    <row r="109" spans="1:9" ht="18" customHeight="1" x14ac:dyDescent="0.3">
      <c r="A109" s="251"/>
      <c r="B109" s="616" t="s">
        <v>934</v>
      </c>
      <c r="C109" s="641" t="s">
        <v>935</v>
      </c>
      <c r="D109" s="644" t="s">
        <v>936</v>
      </c>
      <c r="E109" s="316" t="s">
        <v>937</v>
      </c>
      <c r="F109" s="617"/>
      <c r="G109" s="514"/>
    </row>
    <row r="110" spans="1:9" ht="18" customHeight="1" x14ac:dyDescent="0.3">
      <c r="A110" s="251"/>
      <c r="B110" s="596"/>
      <c r="C110" s="642"/>
      <c r="D110" s="638"/>
      <c r="E110" s="314" t="s">
        <v>938</v>
      </c>
      <c r="F110" s="602"/>
      <c r="G110" s="515"/>
    </row>
    <row r="111" spans="1:9" ht="18" customHeight="1" x14ac:dyDescent="0.3">
      <c r="A111" s="251"/>
      <c r="B111" s="596"/>
      <c r="C111" s="642"/>
      <c r="D111" s="638"/>
      <c r="E111" s="316" t="s">
        <v>939</v>
      </c>
      <c r="F111" s="602"/>
      <c r="G111" s="515"/>
    </row>
    <row r="112" spans="1:9" ht="18" customHeight="1" x14ac:dyDescent="0.3">
      <c r="A112" s="251"/>
      <c r="B112" s="596"/>
      <c r="C112" s="642"/>
      <c r="D112" s="638"/>
      <c r="E112" s="316" t="s">
        <v>216</v>
      </c>
      <c r="F112" s="602"/>
      <c r="G112" s="515"/>
    </row>
    <row r="113" spans="1:7" ht="18" customHeight="1" x14ac:dyDescent="0.3">
      <c r="A113" s="251"/>
      <c r="B113" s="596"/>
      <c r="C113" s="642"/>
      <c r="D113" s="638"/>
      <c r="E113" s="316" t="s">
        <v>940</v>
      </c>
      <c r="F113" s="602"/>
      <c r="G113" s="515"/>
    </row>
    <row r="114" spans="1:7" ht="18" customHeight="1" x14ac:dyDescent="0.3">
      <c r="A114" s="251"/>
      <c r="B114" s="596"/>
      <c r="C114" s="642"/>
      <c r="D114" s="638"/>
      <c r="E114" s="516" t="s">
        <v>941</v>
      </c>
      <c r="F114" s="602"/>
      <c r="G114" s="515"/>
    </row>
    <row r="115" spans="1:7" ht="18" customHeight="1" x14ac:dyDescent="0.3">
      <c r="A115" s="251"/>
      <c r="B115" s="597"/>
      <c r="C115" s="643"/>
      <c r="D115" s="639"/>
      <c r="E115" s="512" t="s">
        <v>942</v>
      </c>
      <c r="F115" s="618"/>
      <c r="G115" s="517" t="s">
        <v>943</v>
      </c>
    </row>
    <row r="116" spans="1:7" ht="18" customHeight="1" x14ac:dyDescent="0.3">
      <c r="A116" s="251"/>
      <c r="B116" s="616" t="s">
        <v>944</v>
      </c>
      <c r="C116" s="641" t="s">
        <v>885</v>
      </c>
      <c r="D116" s="644" t="s">
        <v>945</v>
      </c>
      <c r="E116" s="316" t="s">
        <v>946</v>
      </c>
      <c r="F116" s="617"/>
      <c r="G116" s="518"/>
    </row>
    <row r="117" spans="1:7" ht="18" customHeight="1" x14ac:dyDescent="0.3">
      <c r="A117" s="251"/>
      <c r="B117" s="596"/>
      <c r="C117" s="642"/>
      <c r="D117" s="638"/>
      <c r="E117" s="314" t="s">
        <v>947</v>
      </c>
      <c r="F117" s="602"/>
      <c r="G117" s="515"/>
    </row>
    <row r="118" spans="1:7" ht="18" customHeight="1" x14ac:dyDescent="0.3">
      <c r="A118" s="251"/>
      <c r="B118" s="596"/>
      <c r="C118" s="642"/>
      <c r="D118" s="638"/>
      <c r="E118" s="316" t="s">
        <v>948</v>
      </c>
      <c r="F118" s="602"/>
      <c r="G118" s="515"/>
    </row>
    <row r="119" spans="1:7" ht="18" customHeight="1" x14ac:dyDescent="0.3">
      <c r="A119" s="251"/>
      <c r="B119" s="596"/>
      <c r="C119" s="642"/>
      <c r="D119" s="638"/>
      <c r="E119" s="316" t="s">
        <v>949</v>
      </c>
      <c r="F119" s="602"/>
      <c r="G119" s="515"/>
    </row>
    <row r="120" spans="1:7" ht="18" customHeight="1" x14ac:dyDescent="0.3">
      <c r="A120" s="251"/>
      <c r="B120" s="596"/>
      <c r="C120" s="642"/>
      <c r="D120" s="638"/>
      <c r="E120" s="316" t="s">
        <v>940</v>
      </c>
      <c r="F120" s="602"/>
      <c r="G120" s="515"/>
    </row>
    <row r="121" spans="1:7" ht="18" customHeight="1" x14ac:dyDescent="0.3">
      <c r="A121" s="251"/>
      <c r="B121" s="596"/>
      <c r="C121" s="642"/>
      <c r="D121" s="638"/>
      <c r="E121" s="316" t="s">
        <v>225</v>
      </c>
      <c r="F121" s="602"/>
      <c r="G121" s="515"/>
    </row>
    <row r="122" spans="1:7" ht="18" customHeight="1" thickBot="1" x14ac:dyDescent="0.35">
      <c r="A122" s="285"/>
      <c r="B122" s="629"/>
      <c r="C122" s="651"/>
      <c r="D122" s="652"/>
      <c r="E122" s="519" t="s">
        <v>950</v>
      </c>
      <c r="F122" s="653"/>
      <c r="G122" s="520" t="s">
        <v>925</v>
      </c>
    </row>
    <row r="123" spans="1:7" ht="18" customHeight="1" x14ac:dyDescent="0.3">
      <c r="E123" s="326"/>
      <c r="F123" s="326"/>
    </row>
    <row r="124" spans="1:7" ht="18" customHeight="1" x14ac:dyDescent="0.3">
      <c r="A124" s="297"/>
      <c r="B124" s="298"/>
      <c r="C124" s="299"/>
      <c r="D124" s="297"/>
      <c r="E124" s="300"/>
      <c r="F124" s="301"/>
      <c r="G124" s="302"/>
    </row>
    <row r="125" spans="1:7" ht="18" customHeight="1" x14ac:dyDescent="0.3"/>
    <row r="126" spans="1:7" ht="18" customHeight="1" x14ac:dyDescent="0.3"/>
    <row r="127" spans="1:7" ht="18" customHeight="1" x14ac:dyDescent="0.3"/>
    <row r="128" spans="1:7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</sheetData>
  <mergeCells count="60">
    <mergeCell ref="B109:B115"/>
    <mergeCell ref="C109:C115"/>
    <mergeCell ref="D109:D115"/>
    <mergeCell ref="F109:F115"/>
    <mergeCell ref="B116:B122"/>
    <mergeCell ref="C116:C122"/>
    <mergeCell ref="D116:D122"/>
    <mergeCell ref="F116:F122"/>
    <mergeCell ref="B94:B101"/>
    <mergeCell ref="C94:C101"/>
    <mergeCell ref="D94:D101"/>
    <mergeCell ref="B102:B108"/>
    <mergeCell ref="C102:C108"/>
    <mergeCell ref="D102:D108"/>
    <mergeCell ref="B77:B84"/>
    <mergeCell ref="C77:C84"/>
    <mergeCell ref="D77:D84"/>
    <mergeCell ref="B85:B93"/>
    <mergeCell ref="C85:C93"/>
    <mergeCell ref="D85:D93"/>
    <mergeCell ref="B58:B64"/>
    <mergeCell ref="C58:C64"/>
    <mergeCell ref="D58:D64"/>
    <mergeCell ref="B69:B76"/>
    <mergeCell ref="C69:C76"/>
    <mergeCell ref="D69:D76"/>
    <mergeCell ref="B35:B57"/>
    <mergeCell ref="C35:C57"/>
    <mergeCell ref="D35:D40"/>
    <mergeCell ref="F35:F40"/>
    <mergeCell ref="D41:D42"/>
    <mergeCell ref="F41:F42"/>
    <mergeCell ref="D43:D47"/>
    <mergeCell ref="F43:F47"/>
    <mergeCell ref="D49:D51"/>
    <mergeCell ref="F49:F51"/>
    <mergeCell ref="F52:F53"/>
    <mergeCell ref="D54:D57"/>
    <mergeCell ref="F54:F57"/>
    <mergeCell ref="G14:G15"/>
    <mergeCell ref="B17:B34"/>
    <mergeCell ref="C17:C34"/>
    <mergeCell ref="D17:D18"/>
    <mergeCell ref="F17:F18"/>
    <mergeCell ref="D19:D23"/>
    <mergeCell ref="F19:F23"/>
    <mergeCell ref="D24:D26"/>
    <mergeCell ref="F24:F26"/>
    <mergeCell ref="D27:D31"/>
    <mergeCell ref="F27:F31"/>
    <mergeCell ref="D32:D34"/>
    <mergeCell ref="F32:F34"/>
    <mergeCell ref="A1:F1"/>
    <mergeCell ref="B5:B16"/>
    <mergeCell ref="C5:C16"/>
    <mergeCell ref="D5:D8"/>
    <mergeCell ref="D9:D13"/>
    <mergeCell ref="F9:F13"/>
    <mergeCell ref="D14:D15"/>
    <mergeCell ref="F14:F15"/>
  </mergeCells>
  <phoneticPr fontId="1" type="noConversion"/>
  <printOptions horizontalCentered="1"/>
  <pageMargins left="0.39370078740157483" right="0.27559055118110237" top="0.78740157480314965" bottom="0.59055118110236227" header="0.15748031496062992" footer="0.15748031496062992"/>
  <pageSetup paperSize="9" scale="5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</sheetPr>
  <dimension ref="A1:H38"/>
  <sheetViews>
    <sheetView topLeftCell="A13" zoomScale="85" zoomScaleNormal="85" workbookViewId="0">
      <selection activeCell="C5" sqref="C5"/>
    </sheetView>
  </sheetViews>
  <sheetFormatPr defaultColWidth="9" defaultRowHeight="13.5" x14ac:dyDescent="0.3"/>
  <cols>
    <col min="1" max="1" width="3.875" style="329" customWidth="1"/>
    <col min="2" max="2" width="8.25" style="329" customWidth="1"/>
    <col min="3" max="3" width="52.125" style="329" customWidth="1"/>
    <col min="4" max="4" width="10" style="329" customWidth="1"/>
    <col min="5" max="5" width="15.875" style="329" customWidth="1"/>
    <col min="6" max="6" width="35.875" style="329" customWidth="1"/>
    <col min="7" max="7" width="12.5" style="329" customWidth="1"/>
    <col min="8" max="8" width="26.5" style="329" customWidth="1"/>
    <col min="9" max="9" width="2" style="329" customWidth="1"/>
    <col min="10" max="16384" width="9" style="329"/>
  </cols>
  <sheetData>
    <row r="1" spans="1:8" ht="20.25" x14ac:dyDescent="0.3">
      <c r="A1" s="673" t="s">
        <v>232</v>
      </c>
      <c r="B1" s="673"/>
      <c r="C1" s="673"/>
      <c r="D1" s="673"/>
      <c r="E1" s="673"/>
      <c r="F1" s="673"/>
      <c r="G1" s="673"/>
      <c r="H1" s="673"/>
    </row>
    <row r="2" spans="1:8" ht="10.5" customHeight="1" x14ac:dyDescent="0.3"/>
    <row r="3" spans="1:8" ht="16.5" x14ac:dyDescent="0.3">
      <c r="A3" s="330" t="s">
        <v>233</v>
      </c>
      <c r="H3" s="331" t="s">
        <v>952</v>
      </c>
    </row>
    <row r="4" spans="1:8" ht="24.95" customHeight="1" thickBot="1" x14ac:dyDescent="0.35">
      <c r="A4" s="332" t="s">
        <v>234</v>
      </c>
      <c r="B4" s="332" t="s">
        <v>235</v>
      </c>
      <c r="C4" s="332" t="s">
        <v>236</v>
      </c>
      <c r="D4" s="332" t="s">
        <v>237</v>
      </c>
      <c r="E4" s="332" t="s">
        <v>238</v>
      </c>
      <c r="F4" s="332" t="s">
        <v>239</v>
      </c>
      <c r="G4" s="332" t="s">
        <v>240</v>
      </c>
      <c r="H4" s="332" t="s">
        <v>241</v>
      </c>
    </row>
    <row r="5" spans="1:8" ht="65.099999999999994" customHeight="1" thickTop="1" x14ac:dyDescent="0.3">
      <c r="A5" s="333"/>
      <c r="B5" s="377" t="s">
        <v>725</v>
      </c>
      <c r="C5" s="378" t="s">
        <v>726</v>
      </c>
      <c r="D5" s="379" t="s">
        <v>727</v>
      </c>
      <c r="E5" s="380"/>
      <c r="F5" s="338"/>
      <c r="G5" s="338"/>
      <c r="H5" s="133"/>
    </row>
    <row r="6" spans="1:8" ht="35.1" customHeight="1" x14ac:dyDescent="0.3">
      <c r="A6" s="339"/>
      <c r="B6" s="377" t="s">
        <v>728</v>
      </c>
      <c r="C6" s="381" t="s">
        <v>374</v>
      </c>
      <c r="D6" s="379" t="s">
        <v>729</v>
      </c>
      <c r="E6" s="380" t="s">
        <v>730</v>
      </c>
      <c r="F6" s="338"/>
      <c r="G6" s="338"/>
      <c r="H6" s="336"/>
    </row>
    <row r="7" spans="1:8" ht="35.1" customHeight="1" x14ac:dyDescent="0.3">
      <c r="A7" s="333"/>
      <c r="B7" s="377" t="s">
        <v>731</v>
      </c>
      <c r="C7" s="378" t="s">
        <v>721</v>
      </c>
      <c r="D7" s="379" t="s">
        <v>732</v>
      </c>
      <c r="E7" s="380" t="s">
        <v>733</v>
      </c>
      <c r="F7" s="133"/>
      <c r="G7" s="338"/>
      <c r="H7" s="133"/>
    </row>
    <row r="8" spans="1:8" ht="35.1" customHeight="1" x14ac:dyDescent="0.3">
      <c r="A8" s="333"/>
      <c r="B8" s="132" t="s">
        <v>731</v>
      </c>
      <c r="C8" s="337" t="s">
        <v>734</v>
      </c>
      <c r="D8" s="334" t="s">
        <v>735</v>
      </c>
      <c r="E8" s="133" t="s">
        <v>779</v>
      </c>
      <c r="F8" s="133"/>
      <c r="G8" s="338" t="s">
        <v>736</v>
      </c>
      <c r="H8" s="133"/>
    </row>
    <row r="9" spans="1:8" ht="35.1" customHeight="1" x14ac:dyDescent="0.3">
      <c r="A9" s="333"/>
      <c r="B9" s="132" t="s">
        <v>737</v>
      </c>
      <c r="C9" s="337" t="s">
        <v>738</v>
      </c>
      <c r="D9" s="334" t="s">
        <v>739</v>
      </c>
      <c r="E9" s="133" t="s">
        <v>740</v>
      </c>
      <c r="F9" s="133"/>
      <c r="G9" s="338" t="s">
        <v>741</v>
      </c>
      <c r="H9" s="133"/>
    </row>
    <row r="10" spans="1:8" ht="35.1" customHeight="1" x14ac:dyDescent="0.3">
      <c r="A10" s="340"/>
      <c r="B10" s="132" t="s">
        <v>720</v>
      </c>
      <c r="C10" s="335" t="s">
        <v>242</v>
      </c>
      <c r="D10" s="334" t="s">
        <v>742</v>
      </c>
      <c r="E10" s="133" t="s">
        <v>743</v>
      </c>
      <c r="F10" s="336" t="s">
        <v>744</v>
      </c>
      <c r="G10" s="133"/>
      <c r="H10" s="336"/>
    </row>
    <row r="11" spans="1:8" ht="35.1" customHeight="1" x14ac:dyDescent="0.3">
      <c r="A11" s="340"/>
      <c r="B11" s="132" t="s">
        <v>737</v>
      </c>
      <c r="C11" s="335" t="s">
        <v>722</v>
      </c>
      <c r="D11" s="334" t="s">
        <v>745</v>
      </c>
      <c r="E11" s="133" t="s">
        <v>746</v>
      </c>
      <c r="F11" s="336"/>
      <c r="G11" s="133" t="s">
        <v>747</v>
      </c>
      <c r="H11" s="336"/>
    </row>
    <row r="12" spans="1:8" ht="35.1" customHeight="1" x14ac:dyDescent="0.3">
      <c r="A12" s="340"/>
      <c r="B12" s="132" t="s">
        <v>731</v>
      </c>
      <c r="C12" s="382" t="s">
        <v>748</v>
      </c>
      <c r="D12" s="134"/>
      <c r="E12" s="133"/>
      <c r="F12" s="336"/>
      <c r="G12" s="133"/>
      <c r="H12" s="336"/>
    </row>
    <row r="13" spans="1:8" ht="35.1" customHeight="1" x14ac:dyDescent="0.3">
      <c r="A13" s="340"/>
      <c r="B13" s="132" t="s">
        <v>749</v>
      </c>
      <c r="C13" s="382" t="s">
        <v>750</v>
      </c>
      <c r="D13" s="134"/>
      <c r="E13" s="133"/>
      <c r="F13" s="336"/>
      <c r="G13" s="133"/>
      <c r="H13" s="336"/>
    </row>
    <row r="14" spans="1:8" ht="50.1" customHeight="1" x14ac:dyDescent="0.3">
      <c r="A14" s="340"/>
      <c r="B14" s="132" t="s">
        <v>720</v>
      </c>
      <c r="C14" s="383" t="s">
        <v>751</v>
      </c>
      <c r="D14" s="134"/>
      <c r="E14" s="133" t="s">
        <v>752</v>
      </c>
      <c r="F14" s="336"/>
      <c r="G14" s="133"/>
      <c r="H14" s="336"/>
    </row>
    <row r="15" spans="1:8" ht="35.1" customHeight="1" x14ac:dyDescent="0.3">
      <c r="A15" s="340"/>
      <c r="B15" s="132" t="s">
        <v>753</v>
      </c>
      <c r="C15" s="337" t="s">
        <v>754</v>
      </c>
      <c r="D15" s="334" t="s">
        <v>755</v>
      </c>
      <c r="E15" s="133" t="s">
        <v>756</v>
      </c>
      <c r="F15" s="336"/>
      <c r="G15" s="133"/>
      <c r="H15" s="336"/>
    </row>
    <row r="16" spans="1:8" ht="35.1" customHeight="1" x14ac:dyDescent="0.3">
      <c r="A16" s="340"/>
      <c r="B16" s="132" t="s">
        <v>757</v>
      </c>
      <c r="C16" s="337" t="s">
        <v>758</v>
      </c>
      <c r="D16" s="336" t="s">
        <v>759</v>
      </c>
      <c r="E16" s="133" t="s">
        <v>760</v>
      </c>
      <c r="F16" s="336" t="s">
        <v>761</v>
      </c>
      <c r="G16" s="133" t="s">
        <v>762</v>
      </c>
      <c r="H16" s="336"/>
    </row>
    <row r="17" spans="1:8" ht="35.1" customHeight="1" x14ac:dyDescent="0.3">
      <c r="A17" s="340"/>
      <c r="B17" s="132" t="s">
        <v>749</v>
      </c>
      <c r="C17" s="337" t="s">
        <v>763</v>
      </c>
      <c r="D17" s="338" t="s">
        <v>764</v>
      </c>
      <c r="E17" s="133" t="s">
        <v>765</v>
      </c>
      <c r="F17" s="336" t="s">
        <v>766</v>
      </c>
      <c r="G17" s="133"/>
      <c r="H17" s="336"/>
    </row>
    <row r="18" spans="1:8" ht="35.1" customHeight="1" x14ac:dyDescent="0.3">
      <c r="A18" s="340"/>
      <c r="B18" s="132" t="s">
        <v>737</v>
      </c>
      <c r="C18" s="337" t="s">
        <v>767</v>
      </c>
      <c r="D18" s="338" t="s">
        <v>768</v>
      </c>
      <c r="E18" s="133" t="s">
        <v>769</v>
      </c>
      <c r="F18" s="336"/>
      <c r="G18" s="133" t="s">
        <v>770</v>
      </c>
      <c r="H18" s="336"/>
    </row>
    <row r="19" spans="1:8" ht="72.75" customHeight="1" x14ac:dyDescent="0.3">
      <c r="A19" s="340"/>
      <c r="B19" s="132" t="s">
        <v>771</v>
      </c>
      <c r="C19" s="337" t="s">
        <v>772</v>
      </c>
      <c r="D19" s="336" t="s">
        <v>773</v>
      </c>
      <c r="E19" s="133" t="s">
        <v>774</v>
      </c>
      <c r="F19" s="336"/>
      <c r="G19" s="133" t="s">
        <v>775</v>
      </c>
      <c r="H19" s="336"/>
    </row>
    <row r="20" spans="1:8" ht="35.1" customHeight="1" x14ac:dyDescent="0.3">
      <c r="A20" s="340"/>
      <c r="B20" s="132" t="s">
        <v>737</v>
      </c>
      <c r="C20" s="337" t="s">
        <v>776</v>
      </c>
      <c r="D20" s="336" t="s">
        <v>777</v>
      </c>
      <c r="E20" s="133" t="s">
        <v>778</v>
      </c>
      <c r="F20" s="336"/>
      <c r="G20" s="133" t="s">
        <v>770</v>
      </c>
      <c r="H20" s="336"/>
    </row>
    <row r="21" spans="1:8" ht="35.1" customHeight="1" x14ac:dyDescent="0.3">
      <c r="A21" s="340"/>
      <c r="B21" s="132"/>
      <c r="C21" s="337"/>
      <c r="D21" s="336"/>
      <c r="E21" s="133"/>
      <c r="F21" s="336"/>
      <c r="G21" s="133"/>
      <c r="H21" s="336"/>
    </row>
    <row r="22" spans="1:8" ht="35.1" customHeight="1" x14ac:dyDescent="0.3">
      <c r="A22" s="340"/>
      <c r="B22" s="132"/>
      <c r="C22" s="337"/>
      <c r="D22" s="336"/>
      <c r="E22" s="133"/>
      <c r="F22" s="336"/>
      <c r="G22" s="133"/>
      <c r="H22" s="336"/>
    </row>
    <row r="23" spans="1:8" ht="35.1" customHeight="1" x14ac:dyDescent="0.3">
      <c r="A23" s="340"/>
      <c r="B23" s="132"/>
      <c r="C23" s="337"/>
      <c r="D23" s="336"/>
      <c r="E23" s="133"/>
      <c r="F23" s="336"/>
      <c r="G23" s="133"/>
      <c r="H23" s="336"/>
    </row>
    <row r="24" spans="1:8" ht="35.1" customHeight="1" x14ac:dyDescent="0.3">
      <c r="A24" s="340"/>
      <c r="B24" s="132"/>
      <c r="C24" s="337"/>
      <c r="D24" s="336"/>
      <c r="E24" s="133"/>
      <c r="F24" s="336"/>
      <c r="G24" s="133"/>
      <c r="H24" s="336"/>
    </row>
    <row r="25" spans="1:8" ht="35.1" customHeight="1" x14ac:dyDescent="0.3">
      <c r="A25" s="340"/>
      <c r="B25" s="132"/>
      <c r="C25" s="337"/>
      <c r="D25" s="336"/>
      <c r="E25" s="133"/>
      <c r="F25" s="336"/>
      <c r="G25" s="133"/>
      <c r="H25" s="336"/>
    </row>
    <row r="26" spans="1:8" ht="35.1" customHeight="1" x14ac:dyDescent="0.3">
      <c r="A26" s="340"/>
      <c r="B26" s="132"/>
      <c r="C26" s="337"/>
      <c r="D26" s="341"/>
      <c r="E26" s="133"/>
      <c r="F26" s="336"/>
      <c r="G26" s="133"/>
      <c r="H26" s="336"/>
    </row>
    <row r="27" spans="1:8" ht="35.1" customHeight="1" x14ac:dyDescent="0.3">
      <c r="A27" s="340"/>
      <c r="B27" s="132"/>
      <c r="C27" s="133"/>
      <c r="D27" s="342"/>
      <c r="E27" s="135"/>
      <c r="F27" s="135"/>
      <c r="G27" s="135"/>
      <c r="H27" s="336"/>
    </row>
    <row r="28" spans="1:8" ht="35.1" customHeight="1" x14ac:dyDescent="0.3">
      <c r="A28" s="340"/>
      <c r="B28" s="132"/>
      <c r="C28" s="337"/>
      <c r="D28" s="336"/>
      <c r="E28" s="133"/>
      <c r="F28" s="336"/>
      <c r="G28" s="133"/>
      <c r="H28" s="336"/>
    </row>
    <row r="29" spans="1:8" ht="35.1" customHeight="1" x14ac:dyDescent="0.3">
      <c r="A29" s="340"/>
      <c r="B29" s="132"/>
      <c r="C29" s="337"/>
      <c r="D29" s="336"/>
      <c r="E29" s="133"/>
      <c r="F29" s="133"/>
      <c r="G29" s="133"/>
      <c r="H29" s="336"/>
    </row>
    <row r="30" spans="1:8" x14ac:dyDescent="0.3">
      <c r="D30" s="343"/>
    </row>
    <row r="33" spans="4:4" x14ac:dyDescent="0.3">
      <c r="D33" s="343"/>
    </row>
    <row r="34" spans="4:4" x14ac:dyDescent="0.3">
      <c r="D34" s="343"/>
    </row>
    <row r="38" spans="4:4" x14ac:dyDescent="0.3">
      <c r="D38" s="343"/>
    </row>
  </sheetData>
  <mergeCells count="1">
    <mergeCell ref="A1:H1"/>
  </mergeCells>
  <phoneticPr fontId="1" type="noConversion"/>
  <pageMargins left="0.70866141732283472" right="0.70866141732283472" top="0.78740157480314965" bottom="0.59055118110236227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Z58"/>
  <sheetViews>
    <sheetView zoomScale="70" zoomScaleNormal="70" workbookViewId="0">
      <pane xSplit="1" ySplit="3" topLeftCell="B4" activePane="bottomRight" state="frozen"/>
      <selection activeCell="D33" sqref="D33:I33"/>
      <selection pane="topRight" activeCell="D33" sqref="D33:I33"/>
      <selection pane="bottomLeft" activeCell="D33" sqref="D33:I33"/>
      <selection pane="bottomRight" activeCell="I15" sqref="I15"/>
    </sheetView>
  </sheetViews>
  <sheetFormatPr defaultColWidth="9" defaultRowHeight="13.5" x14ac:dyDescent="0.3"/>
  <cols>
    <col min="1" max="1" width="8.375" style="174" customWidth="1"/>
    <col min="2" max="2" width="27.625" style="172" customWidth="1"/>
    <col min="3" max="3" width="9.625" style="172" customWidth="1"/>
    <col min="4" max="4" width="29" style="172" customWidth="1"/>
    <col min="5" max="5" width="9.625" style="172" customWidth="1"/>
    <col min="6" max="6" width="27.625" style="172" customWidth="1"/>
    <col min="7" max="7" width="9.625" style="172" customWidth="1"/>
    <col min="8" max="8" width="27.625" style="172" customWidth="1"/>
    <col min="9" max="9" width="9.625" style="172" customWidth="1"/>
    <col min="10" max="10" width="27.625" style="172" customWidth="1"/>
    <col min="11" max="11" width="9.625" style="172" customWidth="1"/>
    <col min="12" max="12" width="27.625" style="172" customWidth="1"/>
    <col min="13" max="13" width="9.625" style="172" customWidth="1"/>
    <col min="14" max="14" width="27.625" style="172" customWidth="1"/>
    <col min="15" max="15" width="9.625" style="172" customWidth="1"/>
    <col min="16" max="16" width="27.625" style="174" customWidth="1"/>
    <col min="17" max="17" width="9.625" style="174" customWidth="1"/>
    <col min="18" max="18" width="27.625" style="172" customWidth="1"/>
    <col min="19" max="19" width="9.625" style="172" customWidth="1"/>
    <col min="20" max="20" width="27.625" style="174" customWidth="1"/>
    <col min="21" max="21" width="9.625" style="174" customWidth="1"/>
    <col min="22" max="22" width="27.625" style="174" customWidth="1"/>
    <col min="23" max="23" width="9.625" style="174" customWidth="1"/>
    <col min="24" max="24" width="27.625" style="174" customWidth="1"/>
    <col min="25" max="25" width="9.625" style="174" customWidth="1"/>
    <col min="26" max="16384" width="9" style="174"/>
  </cols>
  <sheetData>
    <row r="1" spans="1:26" ht="50.25" customHeight="1" thickBot="1" x14ac:dyDescent="0.3">
      <c r="A1" s="169" t="s">
        <v>382</v>
      </c>
      <c r="B1" s="170"/>
      <c r="C1" s="170"/>
      <c r="D1" s="171"/>
      <c r="E1" s="171"/>
      <c r="H1" s="173"/>
      <c r="I1" s="173"/>
      <c r="X1" s="175"/>
      <c r="Y1" s="175"/>
    </row>
    <row r="2" spans="1:26" ht="34.5" customHeight="1" x14ac:dyDescent="0.3">
      <c r="A2" s="682" t="s">
        <v>383</v>
      </c>
      <c r="B2" s="674" t="s">
        <v>384</v>
      </c>
      <c r="C2" s="675"/>
      <c r="D2" s="674" t="s">
        <v>13</v>
      </c>
      <c r="E2" s="675"/>
      <c r="F2" s="674" t="s">
        <v>14</v>
      </c>
      <c r="G2" s="675"/>
      <c r="H2" s="674" t="s">
        <v>15</v>
      </c>
      <c r="I2" s="675"/>
      <c r="J2" s="674" t="s">
        <v>16</v>
      </c>
      <c r="K2" s="675"/>
      <c r="L2" s="674" t="s">
        <v>17</v>
      </c>
      <c r="M2" s="675"/>
      <c r="N2" s="674" t="s">
        <v>18</v>
      </c>
      <c r="O2" s="675"/>
      <c r="P2" s="674" t="s">
        <v>19</v>
      </c>
      <c r="Q2" s="675"/>
      <c r="R2" s="674" t="s">
        <v>20</v>
      </c>
      <c r="S2" s="675"/>
      <c r="T2" s="674" t="s">
        <v>21</v>
      </c>
      <c r="U2" s="675"/>
      <c r="V2" s="674" t="s">
        <v>22</v>
      </c>
      <c r="W2" s="675"/>
      <c r="X2" s="674" t="s">
        <v>23</v>
      </c>
      <c r="Y2" s="675"/>
      <c r="Z2" s="176" t="s">
        <v>385</v>
      </c>
    </row>
    <row r="3" spans="1:26" s="179" customFormat="1" ht="23.25" customHeight="1" thickBot="1" x14ac:dyDescent="0.35">
      <c r="A3" s="683"/>
      <c r="B3" s="177" t="s">
        <v>386</v>
      </c>
      <c r="C3" s="177" t="s">
        <v>387</v>
      </c>
      <c r="D3" s="177" t="s">
        <v>386</v>
      </c>
      <c r="E3" s="177" t="s">
        <v>387</v>
      </c>
      <c r="F3" s="177" t="s">
        <v>386</v>
      </c>
      <c r="G3" s="177" t="s">
        <v>387</v>
      </c>
      <c r="H3" s="177" t="s">
        <v>386</v>
      </c>
      <c r="I3" s="177" t="s">
        <v>387</v>
      </c>
      <c r="J3" s="177" t="s">
        <v>386</v>
      </c>
      <c r="K3" s="177" t="s">
        <v>387</v>
      </c>
      <c r="L3" s="177" t="s">
        <v>386</v>
      </c>
      <c r="M3" s="177" t="s">
        <v>387</v>
      </c>
      <c r="N3" s="177" t="s">
        <v>386</v>
      </c>
      <c r="O3" s="177" t="s">
        <v>387</v>
      </c>
      <c r="P3" s="177" t="s">
        <v>386</v>
      </c>
      <c r="Q3" s="177" t="s">
        <v>387</v>
      </c>
      <c r="R3" s="177" t="s">
        <v>386</v>
      </c>
      <c r="S3" s="177" t="s">
        <v>387</v>
      </c>
      <c r="T3" s="177" t="s">
        <v>386</v>
      </c>
      <c r="U3" s="177" t="s">
        <v>387</v>
      </c>
      <c r="V3" s="177" t="s">
        <v>386</v>
      </c>
      <c r="W3" s="177" t="s">
        <v>387</v>
      </c>
      <c r="X3" s="177" t="s">
        <v>386</v>
      </c>
      <c r="Y3" s="177" t="s">
        <v>387</v>
      </c>
      <c r="Z3" s="178"/>
    </row>
    <row r="4" spans="1:26" s="179" customFormat="1" ht="32.1" customHeight="1" thickTop="1" x14ac:dyDescent="0.3">
      <c r="A4" s="676" t="s">
        <v>388</v>
      </c>
      <c r="B4" s="180" t="s">
        <v>389</v>
      </c>
      <c r="C4" s="181" t="s">
        <v>390</v>
      </c>
      <c r="D4" s="180"/>
      <c r="E4" s="181"/>
      <c r="F4" s="180" t="s">
        <v>391</v>
      </c>
      <c r="G4" s="182"/>
      <c r="H4" s="180" t="s">
        <v>392</v>
      </c>
      <c r="I4" s="181" t="s">
        <v>393</v>
      </c>
      <c r="J4" s="180" t="s">
        <v>394</v>
      </c>
      <c r="K4" s="181" t="s">
        <v>395</v>
      </c>
      <c r="L4" s="180" t="s">
        <v>396</v>
      </c>
      <c r="M4" s="181" t="s">
        <v>397</v>
      </c>
      <c r="N4" s="180" t="s">
        <v>398</v>
      </c>
      <c r="O4" s="181" t="s">
        <v>399</v>
      </c>
      <c r="P4" s="180" t="s">
        <v>400</v>
      </c>
      <c r="Q4" s="181" t="s">
        <v>401</v>
      </c>
      <c r="R4" s="180" t="s">
        <v>402</v>
      </c>
      <c r="S4" s="181" t="s">
        <v>403</v>
      </c>
      <c r="T4" s="180" t="s">
        <v>404</v>
      </c>
      <c r="U4" s="181" t="s">
        <v>405</v>
      </c>
      <c r="V4" s="180" t="s">
        <v>406</v>
      </c>
      <c r="W4" s="181" t="s">
        <v>407</v>
      </c>
      <c r="X4" s="180" t="s">
        <v>408</v>
      </c>
      <c r="Y4" s="181" t="s">
        <v>409</v>
      </c>
      <c r="Z4" s="183"/>
    </row>
    <row r="5" spans="1:26" s="179" customFormat="1" ht="32.1" customHeight="1" x14ac:dyDescent="0.3">
      <c r="A5" s="677"/>
      <c r="B5" s="184" t="s">
        <v>410</v>
      </c>
      <c r="C5" s="185" t="s">
        <v>411</v>
      </c>
      <c r="D5" s="184" t="s">
        <v>412</v>
      </c>
      <c r="E5" s="185" t="s">
        <v>413</v>
      </c>
      <c r="F5" s="184"/>
      <c r="G5" s="186"/>
      <c r="H5" s="184" t="s">
        <v>414</v>
      </c>
      <c r="I5" s="185" t="s">
        <v>415</v>
      </c>
      <c r="J5" s="184" t="s">
        <v>416</v>
      </c>
      <c r="K5" s="185" t="s">
        <v>417</v>
      </c>
      <c r="L5" s="184"/>
      <c r="M5" s="186"/>
      <c r="N5" s="184" t="s">
        <v>418</v>
      </c>
      <c r="O5" s="185" t="s">
        <v>419</v>
      </c>
      <c r="P5" s="184" t="s">
        <v>412</v>
      </c>
      <c r="Q5" s="185" t="s">
        <v>413</v>
      </c>
      <c r="R5" s="184" t="s">
        <v>420</v>
      </c>
      <c r="S5" s="185" t="s">
        <v>403</v>
      </c>
      <c r="T5" s="184"/>
      <c r="U5" s="185"/>
      <c r="V5" s="184" t="s">
        <v>421</v>
      </c>
      <c r="W5" s="185" t="s">
        <v>407</v>
      </c>
      <c r="X5" s="184" t="s">
        <v>422</v>
      </c>
      <c r="Y5" s="185" t="s">
        <v>423</v>
      </c>
      <c r="Z5" s="187"/>
    </row>
    <row r="6" spans="1:26" s="179" customFormat="1" ht="44.25" customHeight="1" x14ac:dyDescent="0.3">
      <c r="A6" s="677"/>
      <c r="B6" s="184" t="s">
        <v>424</v>
      </c>
      <c r="C6" s="186" t="s">
        <v>425</v>
      </c>
      <c r="D6" s="384" t="s">
        <v>426</v>
      </c>
      <c r="E6" s="385" t="s">
        <v>427</v>
      </c>
      <c r="F6" s="184"/>
      <c r="G6" s="186"/>
      <c r="H6" s="184" t="s">
        <v>428</v>
      </c>
      <c r="I6" s="185" t="s">
        <v>429</v>
      </c>
      <c r="J6" s="184" t="s">
        <v>430</v>
      </c>
      <c r="K6" s="185" t="s">
        <v>417</v>
      </c>
      <c r="L6" s="184"/>
      <c r="M6" s="186"/>
      <c r="N6" s="190"/>
      <c r="O6" s="186"/>
      <c r="P6" s="184"/>
      <c r="Q6" s="186"/>
      <c r="R6" s="184" t="s">
        <v>431</v>
      </c>
      <c r="S6" s="185" t="s">
        <v>432</v>
      </c>
      <c r="T6" s="184"/>
      <c r="U6" s="185"/>
      <c r="V6" s="184" t="s">
        <v>412</v>
      </c>
      <c r="W6" s="185" t="s">
        <v>413</v>
      </c>
      <c r="X6" s="188" t="s">
        <v>433</v>
      </c>
      <c r="Y6" s="189" t="s">
        <v>434</v>
      </c>
      <c r="Z6" s="187"/>
    </row>
    <row r="7" spans="1:26" s="179" customFormat="1" ht="32.1" customHeight="1" x14ac:dyDescent="0.3">
      <c r="A7" s="677"/>
      <c r="B7" s="384" t="s">
        <v>435</v>
      </c>
      <c r="C7" s="186"/>
      <c r="D7" s="184" t="s">
        <v>436</v>
      </c>
      <c r="E7" s="185" t="s">
        <v>437</v>
      </c>
      <c r="F7" s="184"/>
      <c r="G7" s="186"/>
      <c r="H7" s="184" t="s">
        <v>438</v>
      </c>
      <c r="I7" s="185" t="s">
        <v>439</v>
      </c>
      <c r="J7" s="184" t="s">
        <v>440</v>
      </c>
      <c r="K7" s="185" t="s">
        <v>417</v>
      </c>
      <c r="L7" s="184"/>
      <c r="M7" s="186"/>
      <c r="N7" s="190"/>
      <c r="O7" s="186"/>
      <c r="P7" s="184"/>
      <c r="Q7" s="186"/>
      <c r="R7" s="184" t="s">
        <v>441</v>
      </c>
      <c r="S7" s="185" t="s">
        <v>442</v>
      </c>
      <c r="T7" s="184"/>
      <c r="U7" s="186"/>
      <c r="V7" s="184"/>
      <c r="W7" s="186"/>
      <c r="X7" s="184" t="s">
        <v>443</v>
      </c>
      <c r="Y7" s="185" t="s">
        <v>444</v>
      </c>
      <c r="Z7" s="187"/>
    </row>
    <row r="8" spans="1:26" s="179" customFormat="1" ht="32.1" customHeight="1" x14ac:dyDescent="0.3">
      <c r="A8" s="677"/>
      <c r="B8" s="184" t="s">
        <v>445</v>
      </c>
      <c r="C8" s="185" t="s">
        <v>446</v>
      </c>
      <c r="D8" s="184" t="s">
        <v>447</v>
      </c>
      <c r="E8" s="185" t="s">
        <v>448</v>
      </c>
      <c r="F8" s="184"/>
      <c r="G8" s="186"/>
      <c r="H8" s="184" t="s">
        <v>449</v>
      </c>
      <c r="I8" s="185" t="s">
        <v>429</v>
      </c>
      <c r="J8" s="184" t="s">
        <v>450</v>
      </c>
      <c r="K8" s="185" t="s">
        <v>417</v>
      </c>
      <c r="L8" s="184"/>
      <c r="M8" s="186"/>
      <c r="N8" s="190"/>
      <c r="O8" s="186"/>
      <c r="P8" s="184"/>
      <c r="Q8" s="186"/>
      <c r="R8" s="184"/>
      <c r="S8" s="186"/>
      <c r="T8" s="184"/>
      <c r="U8" s="186"/>
      <c r="V8" s="184"/>
      <c r="W8" s="186"/>
      <c r="X8" s="184" t="s">
        <v>451</v>
      </c>
      <c r="Y8" s="185" t="s">
        <v>444</v>
      </c>
      <c r="Z8" s="187"/>
    </row>
    <row r="9" spans="1:26" s="179" customFormat="1" ht="32.1" customHeight="1" x14ac:dyDescent="0.3">
      <c r="A9" s="677"/>
      <c r="B9" s="384" t="s">
        <v>452</v>
      </c>
      <c r="C9" s="185"/>
      <c r="D9" s="184" t="s">
        <v>453</v>
      </c>
      <c r="E9" s="186"/>
      <c r="F9" s="184"/>
      <c r="G9" s="186"/>
      <c r="H9" s="184"/>
      <c r="I9" s="186"/>
      <c r="J9" s="184"/>
      <c r="K9" s="186"/>
      <c r="L9" s="184"/>
      <c r="M9" s="186"/>
      <c r="N9" s="190"/>
      <c r="O9" s="186"/>
      <c r="P9" s="184"/>
      <c r="Q9" s="186"/>
      <c r="R9" s="184"/>
      <c r="S9" s="186"/>
      <c r="T9" s="184"/>
      <c r="U9" s="186"/>
      <c r="V9" s="184"/>
      <c r="W9" s="186"/>
      <c r="X9" s="184"/>
      <c r="Y9" s="185"/>
      <c r="Z9" s="187"/>
    </row>
    <row r="10" spans="1:26" s="179" customFormat="1" ht="32.1" customHeight="1" x14ac:dyDescent="0.3">
      <c r="A10" s="677"/>
      <c r="B10" s="184" t="s">
        <v>454</v>
      </c>
      <c r="C10" s="185" t="s">
        <v>455</v>
      </c>
      <c r="D10" s="184"/>
      <c r="E10" s="186"/>
      <c r="F10" s="184" t="s">
        <v>456</v>
      </c>
      <c r="G10" s="186"/>
      <c r="H10" s="184"/>
      <c r="I10" s="186"/>
      <c r="J10" s="184"/>
      <c r="K10" s="186"/>
      <c r="L10" s="184"/>
      <c r="M10" s="186"/>
      <c r="N10" s="190"/>
      <c r="O10" s="186"/>
      <c r="P10" s="184"/>
      <c r="Q10" s="186"/>
      <c r="R10" s="184"/>
      <c r="S10" s="186"/>
      <c r="T10" s="184"/>
      <c r="U10" s="186"/>
      <c r="V10" s="184"/>
      <c r="W10" s="186"/>
      <c r="X10" s="184"/>
      <c r="Y10" s="186"/>
      <c r="Z10" s="187"/>
    </row>
    <row r="11" spans="1:26" s="179" customFormat="1" ht="32.1" customHeight="1" x14ac:dyDescent="0.3">
      <c r="A11" s="677"/>
      <c r="B11" s="384" t="s">
        <v>457</v>
      </c>
      <c r="C11" s="185"/>
      <c r="D11" s="184"/>
      <c r="E11" s="186"/>
      <c r="F11" s="184"/>
      <c r="G11" s="186"/>
      <c r="H11" s="184"/>
      <c r="I11" s="186"/>
      <c r="J11" s="184"/>
      <c r="K11" s="186"/>
      <c r="L11" s="184"/>
      <c r="M11" s="186"/>
      <c r="N11" s="190"/>
      <c r="O11" s="186"/>
      <c r="P11" s="184"/>
      <c r="Q11" s="186"/>
      <c r="R11" s="184"/>
      <c r="S11" s="186"/>
      <c r="T11" s="184"/>
      <c r="U11" s="186"/>
      <c r="V11" s="184"/>
      <c r="W11" s="186"/>
      <c r="X11" s="184"/>
      <c r="Y11" s="186"/>
      <c r="Z11" s="187"/>
    </row>
    <row r="12" spans="1:26" s="179" customFormat="1" ht="32.1" customHeight="1" x14ac:dyDescent="0.3">
      <c r="A12" s="677"/>
      <c r="B12" s="191"/>
      <c r="C12" s="192"/>
      <c r="D12" s="191"/>
      <c r="E12" s="193"/>
      <c r="F12" s="191"/>
      <c r="G12" s="193"/>
      <c r="H12" s="191"/>
      <c r="I12" s="193"/>
      <c r="J12" s="191"/>
      <c r="K12" s="193"/>
      <c r="L12" s="191"/>
      <c r="M12" s="193"/>
      <c r="N12" s="194"/>
      <c r="O12" s="193"/>
      <c r="P12" s="191"/>
      <c r="Q12" s="193"/>
      <c r="R12" s="191"/>
      <c r="S12" s="193"/>
      <c r="T12" s="191"/>
      <c r="U12" s="193"/>
      <c r="V12" s="191"/>
      <c r="W12" s="193"/>
      <c r="X12" s="191"/>
      <c r="Y12" s="193"/>
      <c r="Z12" s="195"/>
    </row>
    <row r="13" spans="1:26" s="179" customFormat="1" ht="32.1" customHeight="1" x14ac:dyDescent="0.3">
      <c r="A13" s="677"/>
      <c r="B13" s="196" t="s">
        <v>458</v>
      </c>
      <c r="C13" s="197" t="s">
        <v>459</v>
      </c>
      <c r="D13" s="196" t="s">
        <v>460</v>
      </c>
      <c r="E13" s="198"/>
      <c r="F13" s="196" t="s">
        <v>458</v>
      </c>
      <c r="G13" s="198"/>
      <c r="H13" s="196" t="s">
        <v>460</v>
      </c>
      <c r="I13" s="198"/>
      <c r="J13" s="196" t="s">
        <v>458</v>
      </c>
      <c r="K13" s="198"/>
      <c r="L13" s="196" t="s">
        <v>460</v>
      </c>
      <c r="M13" s="198"/>
      <c r="N13" s="196" t="s">
        <v>460</v>
      </c>
      <c r="O13" s="198"/>
      <c r="P13" s="196" t="s">
        <v>460</v>
      </c>
      <c r="Q13" s="198"/>
      <c r="R13" s="196" t="s">
        <v>460</v>
      </c>
      <c r="S13" s="198"/>
      <c r="T13" s="196" t="s">
        <v>458</v>
      </c>
      <c r="U13" s="198"/>
      <c r="V13" s="196" t="s">
        <v>458</v>
      </c>
      <c r="W13" s="198"/>
      <c r="X13" s="196" t="s">
        <v>460</v>
      </c>
      <c r="Y13" s="198"/>
      <c r="Z13" s="199"/>
    </row>
    <row r="14" spans="1:26" s="179" customFormat="1" ht="32.1" customHeight="1" x14ac:dyDescent="0.3">
      <c r="A14" s="677"/>
      <c r="B14" s="184" t="s">
        <v>461</v>
      </c>
      <c r="C14" s="200" t="s">
        <v>462</v>
      </c>
      <c r="D14" s="184" t="s">
        <v>461</v>
      </c>
      <c r="E14" s="201"/>
      <c r="F14" s="184" t="s">
        <v>461</v>
      </c>
      <c r="G14" s="201"/>
      <c r="H14" s="184" t="s">
        <v>461</v>
      </c>
      <c r="I14" s="201"/>
      <c r="J14" s="184" t="s">
        <v>461</v>
      </c>
      <c r="K14" s="201"/>
      <c r="L14" s="184" t="s">
        <v>461</v>
      </c>
      <c r="M14" s="201"/>
      <c r="N14" s="184" t="s">
        <v>461</v>
      </c>
      <c r="O14" s="201"/>
      <c r="P14" s="184" t="s">
        <v>461</v>
      </c>
      <c r="Q14" s="201"/>
      <c r="R14" s="184" t="s">
        <v>461</v>
      </c>
      <c r="S14" s="201"/>
      <c r="T14" s="184" t="s">
        <v>461</v>
      </c>
      <c r="U14" s="201"/>
      <c r="V14" s="184" t="s">
        <v>463</v>
      </c>
      <c r="W14" s="201"/>
      <c r="X14" s="184" t="s">
        <v>461</v>
      </c>
      <c r="Y14" s="201"/>
      <c r="Z14" s="187"/>
    </row>
    <row r="15" spans="1:26" s="179" customFormat="1" ht="32.1" customHeight="1" x14ac:dyDescent="0.3">
      <c r="A15" s="677"/>
      <c r="B15" s="184" t="s">
        <v>87</v>
      </c>
      <c r="C15" s="200" t="s">
        <v>464</v>
      </c>
      <c r="D15" s="184" t="s">
        <v>87</v>
      </c>
      <c r="E15" s="201"/>
      <c r="F15" s="184" t="s">
        <v>87</v>
      </c>
      <c r="G15" s="201"/>
      <c r="H15" s="184" t="s">
        <v>87</v>
      </c>
      <c r="I15" s="201"/>
      <c r="J15" s="184" t="s">
        <v>87</v>
      </c>
      <c r="K15" s="201"/>
      <c r="L15" s="184" t="s">
        <v>87</v>
      </c>
      <c r="M15" s="201"/>
      <c r="N15" s="184" t="s">
        <v>87</v>
      </c>
      <c r="O15" s="201"/>
      <c r="P15" s="184" t="s">
        <v>87</v>
      </c>
      <c r="Q15" s="201"/>
      <c r="R15" s="184" t="s">
        <v>87</v>
      </c>
      <c r="S15" s="201"/>
      <c r="T15" s="184" t="s">
        <v>87</v>
      </c>
      <c r="U15" s="201"/>
      <c r="V15" s="184" t="s">
        <v>87</v>
      </c>
      <c r="W15" s="201"/>
      <c r="X15" s="184" t="s">
        <v>87</v>
      </c>
      <c r="Y15" s="201"/>
      <c r="Z15" s="187"/>
    </row>
    <row r="16" spans="1:26" s="179" customFormat="1" ht="32.1" customHeight="1" x14ac:dyDescent="0.3">
      <c r="A16" s="677"/>
      <c r="B16" s="184" t="s">
        <v>465</v>
      </c>
      <c r="C16" s="200" t="s">
        <v>466</v>
      </c>
      <c r="D16" s="184" t="s">
        <v>465</v>
      </c>
      <c r="E16" s="201"/>
      <c r="F16" s="184" t="s">
        <v>467</v>
      </c>
      <c r="G16" s="201"/>
      <c r="H16" s="184" t="s">
        <v>465</v>
      </c>
      <c r="I16" s="201"/>
      <c r="J16" s="184" t="s">
        <v>465</v>
      </c>
      <c r="K16" s="201"/>
      <c r="L16" s="184" t="s">
        <v>467</v>
      </c>
      <c r="M16" s="201"/>
      <c r="N16" s="184" t="s">
        <v>467</v>
      </c>
      <c r="O16" s="201"/>
      <c r="P16" s="184" t="s">
        <v>465</v>
      </c>
      <c r="Q16" s="201"/>
      <c r="R16" s="184" t="s">
        <v>467</v>
      </c>
      <c r="S16" s="201"/>
      <c r="T16" s="184" t="s">
        <v>467</v>
      </c>
      <c r="U16" s="201"/>
      <c r="V16" s="184" t="s">
        <v>465</v>
      </c>
      <c r="W16" s="201"/>
      <c r="X16" s="184" t="s">
        <v>467</v>
      </c>
      <c r="Y16" s="201"/>
      <c r="Z16" s="187"/>
    </row>
    <row r="17" spans="1:26" s="179" customFormat="1" ht="32.1" customHeight="1" x14ac:dyDescent="0.3">
      <c r="A17" s="677"/>
      <c r="B17" s="184" t="s">
        <v>468</v>
      </c>
      <c r="C17" s="200" t="s">
        <v>464</v>
      </c>
      <c r="D17" s="184" t="s">
        <v>469</v>
      </c>
      <c r="E17" s="201"/>
      <c r="F17" s="184" t="s">
        <v>469</v>
      </c>
      <c r="G17" s="201"/>
      <c r="H17" s="184" t="s">
        <v>469</v>
      </c>
      <c r="I17" s="201"/>
      <c r="J17" s="184" t="s">
        <v>470</v>
      </c>
      <c r="K17" s="201"/>
      <c r="L17" s="184" t="s">
        <v>470</v>
      </c>
      <c r="M17" s="201"/>
      <c r="N17" s="184" t="s">
        <v>469</v>
      </c>
      <c r="O17" s="201"/>
      <c r="P17" s="184" t="s">
        <v>470</v>
      </c>
      <c r="Q17" s="201"/>
      <c r="R17" s="184" t="s">
        <v>469</v>
      </c>
      <c r="S17" s="201"/>
      <c r="T17" s="184" t="s">
        <v>469</v>
      </c>
      <c r="U17" s="201"/>
      <c r="V17" s="184" t="s">
        <v>469</v>
      </c>
      <c r="W17" s="201"/>
      <c r="X17" s="184" t="s">
        <v>470</v>
      </c>
      <c r="Y17" s="201"/>
      <c r="Z17" s="187"/>
    </row>
    <row r="18" spans="1:26" s="179" customFormat="1" ht="32.1" customHeight="1" x14ac:dyDescent="0.3">
      <c r="A18" s="677"/>
      <c r="B18" s="184" t="s">
        <v>471</v>
      </c>
      <c r="C18" s="200" t="s">
        <v>472</v>
      </c>
      <c r="D18" s="184" t="s">
        <v>473</v>
      </c>
      <c r="E18" s="201"/>
      <c r="F18" s="184" t="s">
        <v>473</v>
      </c>
      <c r="G18" s="201"/>
      <c r="H18" s="184" t="s">
        <v>471</v>
      </c>
      <c r="I18" s="201"/>
      <c r="J18" s="184" t="s">
        <v>471</v>
      </c>
      <c r="K18" s="201"/>
      <c r="L18" s="184" t="s">
        <v>473</v>
      </c>
      <c r="M18" s="201"/>
      <c r="N18" s="184" t="s">
        <v>471</v>
      </c>
      <c r="O18" s="201"/>
      <c r="P18" s="184" t="s">
        <v>473</v>
      </c>
      <c r="Q18" s="201"/>
      <c r="R18" s="184" t="s">
        <v>473</v>
      </c>
      <c r="S18" s="201"/>
      <c r="T18" s="184" t="s">
        <v>473</v>
      </c>
      <c r="U18" s="201"/>
      <c r="V18" s="184" t="s">
        <v>471</v>
      </c>
      <c r="W18" s="201"/>
      <c r="X18" s="184" t="s">
        <v>473</v>
      </c>
      <c r="Y18" s="201"/>
      <c r="Z18" s="187"/>
    </row>
    <row r="19" spans="1:26" s="179" customFormat="1" ht="32.1" customHeight="1" x14ac:dyDescent="0.3">
      <c r="A19" s="677"/>
      <c r="B19" s="184" t="s">
        <v>474</v>
      </c>
      <c r="C19" s="200" t="s">
        <v>475</v>
      </c>
      <c r="D19" s="184" t="s">
        <v>474</v>
      </c>
      <c r="E19" s="201"/>
      <c r="F19" s="184" t="s">
        <v>476</v>
      </c>
      <c r="G19" s="201"/>
      <c r="H19" s="184" t="s">
        <v>476</v>
      </c>
      <c r="I19" s="201"/>
      <c r="J19" s="184" t="s">
        <v>476</v>
      </c>
      <c r="K19" s="201"/>
      <c r="L19" s="184" t="s">
        <v>474</v>
      </c>
      <c r="M19" s="201"/>
      <c r="N19" s="184" t="s">
        <v>476</v>
      </c>
      <c r="O19" s="201"/>
      <c r="P19" s="184" t="s">
        <v>476</v>
      </c>
      <c r="Q19" s="201"/>
      <c r="R19" s="184" t="s">
        <v>476</v>
      </c>
      <c r="S19" s="201"/>
      <c r="T19" s="184" t="s">
        <v>474</v>
      </c>
      <c r="U19" s="201"/>
      <c r="V19" s="184" t="s">
        <v>474</v>
      </c>
      <c r="W19" s="201"/>
      <c r="X19" s="184" t="s">
        <v>476</v>
      </c>
      <c r="Y19" s="201"/>
      <c r="Z19" s="187"/>
    </row>
    <row r="20" spans="1:26" s="179" customFormat="1" ht="32.1" customHeight="1" x14ac:dyDescent="0.3">
      <c r="A20" s="677"/>
      <c r="B20" s="184" t="s">
        <v>477</v>
      </c>
      <c r="C20" s="200" t="s">
        <v>478</v>
      </c>
      <c r="D20" s="184" t="s">
        <v>479</v>
      </c>
      <c r="E20" s="201"/>
      <c r="F20" s="184" t="s">
        <v>479</v>
      </c>
      <c r="G20" s="201"/>
      <c r="H20" s="184" t="s">
        <v>480</v>
      </c>
      <c r="I20" s="201"/>
      <c r="J20" s="184" t="s">
        <v>480</v>
      </c>
      <c r="K20" s="201"/>
      <c r="L20" s="184" t="s">
        <v>479</v>
      </c>
      <c r="M20" s="201"/>
      <c r="N20" s="184" t="s">
        <v>480</v>
      </c>
      <c r="O20" s="201"/>
      <c r="P20" s="184" t="s">
        <v>479</v>
      </c>
      <c r="Q20" s="201"/>
      <c r="R20" s="184" t="s">
        <v>479</v>
      </c>
      <c r="S20" s="201"/>
      <c r="T20" s="184" t="s">
        <v>480</v>
      </c>
      <c r="U20" s="201"/>
      <c r="V20" s="184" t="s">
        <v>480</v>
      </c>
      <c r="W20" s="201"/>
      <c r="X20" s="184" t="s">
        <v>480</v>
      </c>
      <c r="Y20" s="201"/>
      <c r="Z20" s="187"/>
    </row>
    <row r="21" spans="1:26" s="179" customFormat="1" ht="32.1" customHeight="1" x14ac:dyDescent="0.3">
      <c r="A21" s="677"/>
      <c r="B21" s="202" t="s">
        <v>481</v>
      </c>
      <c r="C21" s="200" t="s">
        <v>482</v>
      </c>
      <c r="D21" s="184" t="s">
        <v>483</v>
      </c>
      <c r="E21" s="201"/>
      <c r="F21" s="184" t="s">
        <v>483</v>
      </c>
      <c r="G21" s="201"/>
      <c r="H21" s="184" t="s">
        <v>481</v>
      </c>
      <c r="I21" s="201"/>
      <c r="J21" s="184" t="s">
        <v>483</v>
      </c>
      <c r="K21" s="201"/>
      <c r="L21" s="184" t="s">
        <v>481</v>
      </c>
      <c r="M21" s="201"/>
      <c r="N21" s="184" t="s">
        <v>483</v>
      </c>
      <c r="O21" s="201"/>
      <c r="P21" s="184" t="s">
        <v>483</v>
      </c>
      <c r="Q21" s="201"/>
      <c r="R21" s="184" t="s">
        <v>481</v>
      </c>
      <c r="S21" s="201"/>
      <c r="T21" s="184" t="s">
        <v>481</v>
      </c>
      <c r="U21" s="201"/>
      <c r="V21" s="184" t="s">
        <v>483</v>
      </c>
      <c r="W21" s="201"/>
      <c r="X21" s="184" t="s">
        <v>481</v>
      </c>
      <c r="Y21" s="201"/>
      <c r="Z21" s="187"/>
    </row>
    <row r="22" spans="1:26" s="179" customFormat="1" ht="42" customHeight="1" x14ac:dyDescent="0.3">
      <c r="A22" s="677"/>
      <c r="B22" s="203" t="s">
        <v>484</v>
      </c>
      <c r="C22" s="204" t="s">
        <v>485</v>
      </c>
      <c r="D22" s="203" t="s">
        <v>484</v>
      </c>
      <c r="E22" s="205"/>
      <c r="F22" s="203" t="s">
        <v>484</v>
      </c>
      <c r="G22" s="205"/>
      <c r="H22" s="203" t="s">
        <v>484</v>
      </c>
      <c r="I22" s="205"/>
      <c r="J22" s="203" t="s">
        <v>486</v>
      </c>
      <c r="K22" s="205"/>
      <c r="L22" s="203" t="s">
        <v>486</v>
      </c>
      <c r="M22" s="204"/>
      <c r="N22" s="203" t="s">
        <v>484</v>
      </c>
      <c r="O22" s="205"/>
      <c r="P22" s="203" t="s">
        <v>486</v>
      </c>
      <c r="Q22" s="205"/>
      <c r="R22" s="203" t="s">
        <v>484</v>
      </c>
      <c r="S22" s="205"/>
      <c r="T22" s="203" t="s">
        <v>484</v>
      </c>
      <c r="U22" s="205"/>
      <c r="V22" s="203" t="s">
        <v>484</v>
      </c>
      <c r="W22" s="205"/>
      <c r="X22" s="203" t="s">
        <v>486</v>
      </c>
      <c r="Y22" s="205"/>
      <c r="Z22" s="206"/>
    </row>
    <row r="23" spans="1:26" s="179" customFormat="1" ht="32.1" customHeight="1" x14ac:dyDescent="0.3">
      <c r="A23" s="677"/>
      <c r="B23" s="203" t="s">
        <v>487</v>
      </c>
      <c r="C23" s="204" t="s">
        <v>488</v>
      </c>
      <c r="D23" s="203" t="s">
        <v>489</v>
      </c>
      <c r="E23" s="205"/>
      <c r="F23" s="203" t="s">
        <v>487</v>
      </c>
      <c r="G23" s="205"/>
      <c r="H23" s="203" t="s">
        <v>487</v>
      </c>
      <c r="I23" s="205"/>
      <c r="J23" s="203" t="s">
        <v>489</v>
      </c>
      <c r="K23" s="205"/>
      <c r="L23" s="203" t="s">
        <v>489</v>
      </c>
      <c r="M23" s="204"/>
      <c r="N23" s="203" t="s">
        <v>489</v>
      </c>
      <c r="O23" s="205"/>
      <c r="P23" s="203" t="s">
        <v>489</v>
      </c>
      <c r="Q23" s="205"/>
      <c r="R23" s="203" t="s">
        <v>489</v>
      </c>
      <c r="S23" s="205"/>
      <c r="T23" s="203" t="s">
        <v>489</v>
      </c>
      <c r="U23" s="205"/>
      <c r="V23" s="203" t="s">
        <v>487</v>
      </c>
      <c r="W23" s="205"/>
      <c r="X23" s="203" t="s">
        <v>489</v>
      </c>
      <c r="Y23" s="205"/>
      <c r="Z23" s="206"/>
    </row>
    <row r="24" spans="1:26" s="179" customFormat="1" ht="32.1" customHeight="1" thickBot="1" x14ac:dyDescent="0.35">
      <c r="A24" s="678"/>
      <c r="B24" s="207"/>
      <c r="C24" s="208"/>
      <c r="D24" s="207"/>
      <c r="E24" s="208"/>
      <c r="F24" s="207"/>
      <c r="G24" s="208"/>
      <c r="H24" s="207"/>
      <c r="I24" s="208"/>
      <c r="J24" s="207"/>
      <c r="K24" s="208"/>
      <c r="L24" s="207"/>
      <c r="M24" s="208"/>
      <c r="N24" s="207"/>
      <c r="O24" s="208"/>
      <c r="P24" s="207"/>
      <c r="Q24" s="208"/>
      <c r="R24" s="207"/>
      <c r="S24" s="208"/>
      <c r="T24" s="207"/>
      <c r="U24" s="208"/>
      <c r="V24" s="207"/>
      <c r="W24" s="208"/>
      <c r="X24" s="207"/>
      <c r="Y24" s="208"/>
      <c r="Z24" s="209"/>
    </row>
    <row r="25" spans="1:26" s="179" customFormat="1" ht="32.1" customHeight="1" x14ac:dyDescent="0.3">
      <c r="A25" s="679" t="s">
        <v>88</v>
      </c>
      <c r="B25" s="210" t="s">
        <v>490</v>
      </c>
      <c r="C25" s="211"/>
      <c r="D25" s="210" t="s">
        <v>491</v>
      </c>
      <c r="E25" s="211"/>
      <c r="F25" s="210" t="s">
        <v>491</v>
      </c>
      <c r="G25" s="211"/>
      <c r="H25" s="210" t="s">
        <v>491</v>
      </c>
      <c r="I25" s="211"/>
      <c r="J25" s="210" t="s">
        <v>490</v>
      </c>
      <c r="K25" s="211"/>
      <c r="L25" s="210" t="s">
        <v>490</v>
      </c>
      <c r="M25" s="211"/>
      <c r="N25" s="210" t="s">
        <v>491</v>
      </c>
      <c r="O25" s="211"/>
      <c r="P25" s="210" t="s">
        <v>491</v>
      </c>
      <c r="Q25" s="211"/>
      <c r="R25" s="210" t="s">
        <v>491</v>
      </c>
      <c r="S25" s="211"/>
      <c r="T25" s="210" t="s">
        <v>490</v>
      </c>
      <c r="U25" s="211"/>
      <c r="V25" s="210" t="s">
        <v>491</v>
      </c>
      <c r="W25" s="211"/>
      <c r="X25" s="210" t="s">
        <v>491</v>
      </c>
      <c r="Y25" s="211"/>
      <c r="Z25" s="212"/>
    </row>
    <row r="26" spans="1:26" s="179" customFormat="1" ht="32.1" customHeight="1" x14ac:dyDescent="0.3">
      <c r="A26" s="680"/>
      <c r="B26" s="214" t="s">
        <v>492</v>
      </c>
      <c r="C26" s="213" t="s">
        <v>493</v>
      </c>
      <c r="D26" s="214" t="s">
        <v>494</v>
      </c>
      <c r="E26" s="219"/>
      <c r="F26" s="214" t="s">
        <v>494</v>
      </c>
      <c r="G26" s="219"/>
      <c r="H26" s="214" t="s">
        <v>494</v>
      </c>
      <c r="I26" s="219"/>
      <c r="J26" s="214" t="s">
        <v>494</v>
      </c>
      <c r="K26" s="219"/>
      <c r="L26" s="214" t="s">
        <v>492</v>
      </c>
      <c r="M26" s="219"/>
      <c r="N26" s="214" t="s">
        <v>492</v>
      </c>
      <c r="O26" s="219"/>
      <c r="P26" s="214" t="s">
        <v>494</v>
      </c>
      <c r="Q26" s="219"/>
      <c r="R26" s="214" t="s">
        <v>492</v>
      </c>
      <c r="S26" s="219"/>
      <c r="T26" s="214" t="s">
        <v>494</v>
      </c>
      <c r="U26" s="219"/>
      <c r="V26" s="214" t="s">
        <v>494</v>
      </c>
      <c r="W26" s="219"/>
      <c r="X26" s="214" t="s">
        <v>494</v>
      </c>
      <c r="Y26" s="219"/>
      <c r="Z26" s="215"/>
    </row>
    <row r="27" spans="1:26" s="179" customFormat="1" ht="32.1" customHeight="1" x14ac:dyDescent="0.3">
      <c r="A27" s="680"/>
      <c r="B27" s="184"/>
      <c r="C27" s="201"/>
      <c r="D27" s="184" t="s">
        <v>495</v>
      </c>
      <c r="E27" s="200" t="s">
        <v>496</v>
      </c>
      <c r="F27" s="184" t="s">
        <v>497</v>
      </c>
      <c r="G27" s="200" t="s">
        <v>498</v>
      </c>
      <c r="H27" s="184" t="s">
        <v>499</v>
      </c>
      <c r="I27" s="200" t="s">
        <v>500</v>
      </c>
      <c r="J27" s="184" t="s">
        <v>501</v>
      </c>
      <c r="K27" s="200" t="s">
        <v>502</v>
      </c>
      <c r="L27" s="184" t="s">
        <v>503</v>
      </c>
      <c r="M27" s="200" t="s">
        <v>504</v>
      </c>
      <c r="N27" s="216"/>
      <c r="O27" s="201"/>
      <c r="P27" s="184" t="s">
        <v>505</v>
      </c>
      <c r="Q27" s="200" t="s">
        <v>506</v>
      </c>
      <c r="R27" s="184" t="s">
        <v>507</v>
      </c>
      <c r="S27" s="201"/>
      <c r="T27" s="184" t="s">
        <v>508</v>
      </c>
      <c r="U27" s="200" t="s">
        <v>405</v>
      </c>
      <c r="V27" s="184" t="s">
        <v>509</v>
      </c>
      <c r="W27" s="200" t="s">
        <v>510</v>
      </c>
      <c r="X27" s="184" t="s">
        <v>511</v>
      </c>
      <c r="Y27" s="200" t="s">
        <v>444</v>
      </c>
      <c r="Z27" s="187"/>
    </row>
    <row r="28" spans="1:26" s="179" customFormat="1" ht="32.1" customHeight="1" x14ac:dyDescent="0.3">
      <c r="A28" s="680"/>
      <c r="B28" s="184"/>
      <c r="C28" s="201"/>
      <c r="D28" s="184"/>
      <c r="E28" s="201"/>
      <c r="F28" s="184" t="s">
        <v>512</v>
      </c>
      <c r="G28" s="200" t="s">
        <v>498</v>
      </c>
      <c r="H28" s="184" t="s">
        <v>89</v>
      </c>
      <c r="I28" s="200" t="s">
        <v>513</v>
      </c>
      <c r="J28" s="184" t="s">
        <v>514</v>
      </c>
      <c r="K28" s="200" t="s">
        <v>515</v>
      </c>
      <c r="L28" s="184" t="s">
        <v>516</v>
      </c>
      <c r="M28" s="200" t="s">
        <v>517</v>
      </c>
      <c r="N28" s="216"/>
      <c r="O28" s="201"/>
      <c r="P28" s="184"/>
      <c r="Q28" s="201"/>
      <c r="R28" s="184"/>
      <c r="S28" s="201"/>
      <c r="T28" s="184" t="s">
        <v>518</v>
      </c>
      <c r="U28" s="200" t="s">
        <v>519</v>
      </c>
      <c r="V28" s="184" t="s">
        <v>520</v>
      </c>
      <c r="W28" s="200" t="s">
        <v>521</v>
      </c>
      <c r="X28" s="184" t="s">
        <v>522</v>
      </c>
      <c r="Y28" s="200" t="s">
        <v>523</v>
      </c>
      <c r="Z28" s="187"/>
    </row>
    <row r="29" spans="1:26" s="179" customFormat="1" ht="32.25" customHeight="1" x14ac:dyDescent="0.3">
      <c r="A29" s="680"/>
      <c r="B29" s="184"/>
      <c r="C29" s="201"/>
      <c r="D29" s="184"/>
      <c r="E29" s="201"/>
      <c r="F29" s="184" t="s">
        <v>524</v>
      </c>
      <c r="G29" s="200" t="s">
        <v>525</v>
      </c>
      <c r="H29" s="184"/>
      <c r="I29" s="201"/>
      <c r="J29" s="184" t="s">
        <v>526</v>
      </c>
      <c r="K29" s="200" t="s">
        <v>527</v>
      </c>
      <c r="L29" s="184" t="s">
        <v>507</v>
      </c>
      <c r="M29" s="200"/>
      <c r="N29" s="216"/>
      <c r="O29" s="201"/>
      <c r="P29" s="184"/>
      <c r="Q29" s="201"/>
      <c r="R29" s="184"/>
      <c r="S29" s="201"/>
      <c r="T29" s="184"/>
      <c r="U29" s="200"/>
      <c r="V29" s="184" t="s">
        <v>528</v>
      </c>
      <c r="W29" s="200" t="s">
        <v>529</v>
      </c>
      <c r="X29" s="184" t="s">
        <v>530</v>
      </c>
      <c r="Y29" s="200" t="s">
        <v>523</v>
      </c>
      <c r="Z29" s="187"/>
    </row>
    <row r="30" spans="1:26" s="179" customFormat="1" ht="32.1" customHeight="1" x14ac:dyDescent="0.3">
      <c r="A30" s="680"/>
      <c r="B30" s="184"/>
      <c r="C30" s="201"/>
      <c r="D30" s="184"/>
      <c r="E30" s="201"/>
      <c r="F30" s="184" t="s">
        <v>531</v>
      </c>
      <c r="G30" s="200" t="s">
        <v>525</v>
      </c>
      <c r="H30" s="184"/>
      <c r="I30" s="201"/>
      <c r="J30" s="386" t="s">
        <v>532</v>
      </c>
      <c r="K30" s="200" t="s">
        <v>515</v>
      </c>
      <c r="L30" s="184"/>
      <c r="M30" s="201"/>
      <c r="N30" s="216"/>
      <c r="O30" s="201"/>
      <c r="P30" s="184"/>
      <c r="Q30" s="201"/>
      <c r="R30" s="184"/>
      <c r="S30" s="201"/>
      <c r="T30" s="184"/>
      <c r="U30" s="201"/>
      <c r="V30" s="184" t="s">
        <v>533</v>
      </c>
      <c r="W30" s="200" t="s">
        <v>529</v>
      </c>
      <c r="X30" s="184" t="s">
        <v>507</v>
      </c>
      <c r="Y30" s="201"/>
      <c r="Z30" s="187"/>
    </row>
    <row r="31" spans="1:26" s="179" customFormat="1" ht="32.1" customHeight="1" x14ac:dyDescent="0.3">
      <c r="A31" s="680"/>
      <c r="B31" s="203"/>
      <c r="C31" s="205"/>
      <c r="D31" s="203"/>
      <c r="E31" s="205"/>
      <c r="F31" s="184" t="s">
        <v>507</v>
      </c>
      <c r="G31" s="204"/>
      <c r="H31" s="203"/>
      <c r="I31" s="205"/>
      <c r="J31" s="387"/>
      <c r="K31" s="204"/>
      <c r="L31" s="203"/>
      <c r="M31" s="205"/>
      <c r="N31" s="388"/>
      <c r="O31" s="205"/>
      <c r="P31" s="203"/>
      <c r="Q31" s="205"/>
      <c r="R31" s="203"/>
      <c r="S31" s="205"/>
      <c r="T31" s="203"/>
      <c r="U31" s="205"/>
      <c r="V31" s="203"/>
      <c r="W31" s="204"/>
      <c r="X31" s="203"/>
      <c r="Y31" s="205"/>
      <c r="Z31" s="206"/>
    </row>
    <row r="32" spans="1:26" s="179" customFormat="1" ht="32.1" customHeight="1" x14ac:dyDescent="0.3">
      <c r="A32" s="680"/>
      <c r="B32" s="191"/>
      <c r="C32" s="217"/>
      <c r="D32" s="191"/>
      <c r="E32" s="217"/>
      <c r="F32" s="191"/>
      <c r="G32" s="217"/>
      <c r="H32" s="191"/>
      <c r="I32" s="217"/>
      <c r="J32" s="191"/>
      <c r="K32" s="217"/>
      <c r="L32" s="191"/>
      <c r="M32" s="217"/>
      <c r="N32" s="218"/>
      <c r="O32" s="217"/>
      <c r="P32" s="191"/>
      <c r="Q32" s="217"/>
      <c r="R32" s="191"/>
      <c r="S32" s="217"/>
      <c r="T32" s="191"/>
      <c r="U32" s="217"/>
      <c r="V32" s="191"/>
      <c r="W32" s="217"/>
      <c r="X32" s="191"/>
      <c r="Y32" s="217"/>
      <c r="Z32" s="195"/>
    </row>
    <row r="33" spans="1:26" s="179" customFormat="1" ht="32.1" customHeight="1" x14ac:dyDescent="0.3">
      <c r="A33" s="680"/>
      <c r="B33" s="214" t="s">
        <v>534</v>
      </c>
      <c r="C33" s="219"/>
      <c r="D33" s="214" t="s">
        <v>535</v>
      </c>
      <c r="E33" s="219"/>
      <c r="F33" s="214" t="s">
        <v>534</v>
      </c>
      <c r="G33" s="219"/>
      <c r="H33" s="214" t="s">
        <v>535</v>
      </c>
      <c r="I33" s="219"/>
      <c r="J33" s="214" t="s">
        <v>534</v>
      </c>
      <c r="K33" s="219"/>
      <c r="L33" s="214" t="s">
        <v>534</v>
      </c>
      <c r="M33" s="219"/>
      <c r="N33" s="214" t="s">
        <v>534</v>
      </c>
      <c r="O33" s="219"/>
      <c r="P33" s="214" t="s">
        <v>535</v>
      </c>
      <c r="Q33" s="219"/>
      <c r="R33" s="214" t="s">
        <v>534</v>
      </c>
      <c r="S33" s="219"/>
      <c r="T33" s="214" t="s">
        <v>535</v>
      </c>
      <c r="U33" s="219"/>
      <c r="V33" s="214" t="s">
        <v>534</v>
      </c>
      <c r="W33" s="219"/>
      <c r="X33" s="214" t="s">
        <v>534</v>
      </c>
      <c r="Y33" s="219"/>
      <c r="Z33" s="215"/>
    </row>
    <row r="34" spans="1:26" s="179" customFormat="1" ht="32.1" customHeight="1" thickBot="1" x14ac:dyDescent="0.35">
      <c r="A34" s="681"/>
      <c r="B34" s="207"/>
      <c r="C34" s="208"/>
      <c r="D34" s="207"/>
      <c r="E34" s="208"/>
      <c r="F34" s="207"/>
      <c r="G34" s="208"/>
      <c r="H34" s="207"/>
      <c r="I34" s="208"/>
      <c r="J34" s="207"/>
      <c r="K34" s="208"/>
      <c r="L34" s="207"/>
      <c r="M34" s="208"/>
      <c r="N34" s="220"/>
      <c r="O34" s="208"/>
      <c r="P34" s="207"/>
      <c r="Q34" s="208"/>
      <c r="R34" s="207"/>
      <c r="S34" s="208"/>
      <c r="T34" s="207"/>
      <c r="U34" s="208"/>
      <c r="V34" s="207"/>
      <c r="W34" s="208"/>
      <c r="X34" s="207"/>
      <c r="Y34" s="208"/>
      <c r="Z34" s="209"/>
    </row>
    <row r="35" spans="1:26" s="179" customFormat="1" ht="32.1" customHeight="1" x14ac:dyDescent="0.3">
      <c r="A35" s="389" t="s">
        <v>536</v>
      </c>
      <c r="B35" s="214" t="s">
        <v>537</v>
      </c>
      <c r="C35" s="213" t="s">
        <v>538</v>
      </c>
      <c r="D35" s="214" t="s">
        <v>537</v>
      </c>
      <c r="E35" s="219"/>
      <c r="F35" s="214" t="s">
        <v>537</v>
      </c>
      <c r="G35" s="219"/>
      <c r="H35" s="214" t="s">
        <v>539</v>
      </c>
      <c r="I35" s="219"/>
      <c r="J35" s="214" t="s">
        <v>537</v>
      </c>
      <c r="K35" s="219"/>
      <c r="L35" s="214" t="s">
        <v>537</v>
      </c>
      <c r="M35" s="219"/>
      <c r="N35" s="214" t="s">
        <v>539</v>
      </c>
      <c r="O35" s="219"/>
      <c r="P35" s="214" t="s">
        <v>539</v>
      </c>
      <c r="Q35" s="219"/>
      <c r="R35" s="214" t="s">
        <v>537</v>
      </c>
      <c r="S35" s="219"/>
      <c r="T35" s="214" t="s">
        <v>537</v>
      </c>
      <c r="U35" s="219"/>
      <c r="V35" s="214" t="s">
        <v>539</v>
      </c>
      <c r="W35" s="219"/>
      <c r="X35" s="214" t="s">
        <v>539</v>
      </c>
      <c r="Y35" s="219"/>
      <c r="Z35" s="215"/>
    </row>
    <row r="36" spans="1:26" s="179" customFormat="1" ht="32.1" customHeight="1" x14ac:dyDescent="0.3">
      <c r="A36" s="390"/>
      <c r="B36" s="184" t="s">
        <v>540</v>
      </c>
      <c r="C36" s="200"/>
      <c r="D36" s="391" t="s">
        <v>540</v>
      </c>
      <c r="E36" s="392" t="s">
        <v>541</v>
      </c>
      <c r="F36" s="184" t="s">
        <v>543</v>
      </c>
      <c r="G36" s="200" t="s">
        <v>544</v>
      </c>
      <c r="H36" s="184"/>
      <c r="I36" s="201"/>
      <c r="J36" s="184"/>
      <c r="K36" s="201"/>
      <c r="L36" s="184" t="s">
        <v>543</v>
      </c>
      <c r="M36" s="200" t="s">
        <v>545</v>
      </c>
      <c r="N36" s="184"/>
      <c r="O36" s="201"/>
      <c r="P36" s="184"/>
      <c r="Q36" s="201"/>
      <c r="R36" s="184" t="s">
        <v>543</v>
      </c>
      <c r="S36" s="200" t="s">
        <v>545</v>
      </c>
      <c r="T36" s="184"/>
      <c r="U36" s="201"/>
      <c r="V36" s="184"/>
      <c r="W36" s="201"/>
      <c r="X36" s="184" t="s">
        <v>542</v>
      </c>
      <c r="Y36" s="200" t="s">
        <v>545</v>
      </c>
      <c r="Z36" s="187"/>
    </row>
    <row r="37" spans="1:26" s="179" customFormat="1" ht="32.1" customHeight="1" x14ac:dyDescent="0.3">
      <c r="A37" s="390"/>
      <c r="B37" s="188"/>
      <c r="C37" s="200"/>
      <c r="D37" s="188"/>
      <c r="E37" s="201"/>
      <c r="F37" s="188"/>
      <c r="G37" s="201"/>
      <c r="H37" s="188"/>
      <c r="I37" s="201"/>
      <c r="J37" s="188"/>
      <c r="K37" s="201"/>
      <c r="L37" s="188"/>
      <c r="M37" s="201"/>
      <c r="N37" s="188"/>
      <c r="O37" s="201"/>
      <c r="P37" s="188"/>
      <c r="Q37" s="201"/>
      <c r="R37" s="188"/>
      <c r="S37" s="201"/>
      <c r="T37" s="188"/>
      <c r="U37" s="201"/>
      <c r="V37" s="188"/>
      <c r="W37" s="201"/>
      <c r="X37" s="188"/>
      <c r="Y37" s="201"/>
      <c r="Z37" s="187"/>
    </row>
    <row r="38" spans="1:26" s="179" customFormat="1" ht="32.1" customHeight="1" thickBot="1" x14ac:dyDescent="0.35">
      <c r="A38" s="393"/>
      <c r="B38" s="191"/>
      <c r="C38" s="217"/>
      <c r="D38" s="191"/>
      <c r="E38" s="217"/>
      <c r="F38" s="191"/>
      <c r="G38" s="217"/>
      <c r="H38" s="191"/>
      <c r="I38" s="217"/>
      <c r="J38" s="191"/>
      <c r="K38" s="217"/>
      <c r="L38" s="191"/>
      <c r="M38" s="217"/>
      <c r="N38" s="191"/>
      <c r="O38" s="217"/>
      <c r="P38" s="191"/>
      <c r="Q38" s="217"/>
      <c r="R38" s="191"/>
      <c r="S38" s="217"/>
      <c r="T38" s="191"/>
      <c r="U38" s="217"/>
      <c r="V38" s="191"/>
      <c r="W38" s="217"/>
      <c r="X38" s="191"/>
      <c r="Y38" s="217"/>
      <c r="Z38" s="195"/>
    </row>
    <row r="39" spans="1:26" ht="32.1" customHeight="1" x14ac:dyDescent="0.3">
      <c r="A39" s="679" t="s">
        <v>546</v>
      </c>
      <c r="B39" s="221" t="s">
        <v>547</v>
      </c>
      <c r="C39" s="222"/>
      <c r="D39" s="223"/>
      <c r="E39" s="222"/>
      <c r="F39" s="224"/>
      <c r="G39" s="222"/>
      <c r="H39" s="223"/>
      <c r="I39" s="222"/>
      <c r="J39" s="223"/>
      <c r="K39" s="222"/>
      <c r="L39" s="224"/>
      <c r="M39" s="222"/>
      <c r="N39" s="224"/>
      <c r="O39" s="222"/>
      <c r="P39" s="224"/>
      <c r="Q39" s="222"/>
      <c r="R39" s="224"/>
      <c r="S39" s="222"/>
      <c r="T39" s="223"/>
      <c r="U39" s="222"/>
      <c r="V39" s="223"/>
      <c r="W39" s="222"/>
      <c r="X39" s="223"/>
      <c r="Y39" s="222"/>
      <c r="Z39" s="225"/>
    </row>
    <row r="40" spans="1:26" ht="32.1" customHeight="1" x14ac:dyDescent="0.3">
      <c r="A40" s="680"/>
      <c r="B40" s="216"/>
      <c r="C40" s="226"/>
      <c r="D40" s="227"/>
      <c r="E40" s="226"/>
      <c r="F40" s="216"/>
      <c r="G40" s="226"/>
      <c r="H40" s="227"/>
      <c r="I40" s="226"/>
      <c r="J40" s="227"/>
      <c r="K40" s="226"/>
      <c r="L40" s="216"/>
      <c r="M40" s="226"/>
      <c r="N40" s="216"/>
      <c r="O40" s="226"/>
      <c r="P40" s="216"/>
      <c r="Q40" s="226"/>
      <c r="R40" s="216"/>
      <c r="S40" s="226"/>
      <c r="T40" s="227"/>
      <c r="U40" s="226"/>
      <c r="V40" s="227"/>
      <c r="W40" s="226"/>
      <c r="X40" s="227"/>
      <c r="Y40" s="226"/>
      <c r="Z40" s="187"/>
    </row>
    <row r="41" spans="1:26" ht="32.1" customHeight="1" x14ac:dyDescent="0.3">
      <c r="A41" s="680"/>
      <c r="B41" s="228"/>
      <c r="C41" s="229"/>
      <c r="D41" s="230"/>
      <c r="E41" s="229"/>
      <c r="F41" s="231"/>
      <c r="G41" s="229"/>
      <c r="H41" s="230"/>
      <c r="I41" s="229"/>
      <c r="J41" s="230"/>
      <c r="K41" s="229"/>
      <c r="L41" s="231"/>
      <c r="M41" s="229"/>
      <c r="N41" s="231"/>
      <c r="O41" s="229"/>
      <c r="P41" s="231"/>
      <c r="Q41" s="229"/>
      <c r="R41" s="231"/>
      <c r="S41" s="229"/>
      <c r="T41" s="230"/>
      <c r="U41" s="229"/>
      <c r="V41" s="230"/>
      <c r="W41" s="229"/>
      <c r="X41" s="230"/>
      <c r="Y41" s="229"/>
      <c r="Z41" s="232"/>
    </row>
    <row r="42" spans="1:26" ht="32.1" customHeight="1" thickBot="1" x14ac:dyDescent="0.35">
      <c r="A42" s="681"/>
      <c r="B42" s="233"/>
      <c r="C42" s="234"/>
      <c r="D42" s="235"/>
      <c r="E42" s="234"/>
      <c r="F42" s="235"/>
      <c r="G42" s="234"/>
      <c r="H42" s="235"/>
      <c r="I42" s="234"/>
      <c r="J42" s="235"/>
      <c r="K42" s="234"/>
      <c r="L42" s="235"/>
      <c r="M42" s="234"/>
      <c r="N42" s="235"/>
      <c r="O42" s="234"/>
      <c r="P42" s="235"/>
      <c r="Q42" s="234"/>
      <c r="R42" s="235"/>
      <c r="S42" s="234"/>
      <c r="T42" s="235"/>
      <c r="U42" s="234"/>
      <c r="V42" s="236"/>
      <c r="W42" s="234"/>
      <c r="X42" s="236"/>
      <c r="Y42" s="234"/>
      <c r="Z42" s="237"/>
    </row>
    <row r="48" spans="1:26" x14ac:dyDescent="0.3">
      <c r="B48" s="238"/>
      <c r="C48" s="238"/>
    </row>
    <row r="49" spans="1:26" s="172" customFormat="1" x14ac:dyDescent="0.3">
      <c r="A49" s="174"/>
      <c r="B49" s="238"/>
      <c r="C49" s="238"/>
      <c r="P49" s="174"/>
      <c r="Q49" s="174"/>
      <c r="T49" s="174"/>
      <c r="U49" s="174"/>
      <c r="V49" s="174"/>
      <c r="W49" s="174"/>
      <c r="X49" s="174"/>
      <c r="Y49" s="174"/>
      <c r="Z49" s="174"/>
    </row>
    <row r="50" spans="1:26" s="172" customFormat="1" x14ac:dyDescent="0.3">
      <c r="A50" s="174"/>
      <c r="B50" s="238"/>
      <c r="C50" s="238"/>
      <c r="P50" s="174"/>
      <c r="Q50" s="174"/>
      <c r="T50" s="174"/>
      <c r="U50" s="174"/>
      <c r="V50" s="174"/>
      <c r="W50" s="174"/>
      <c r="X50" s="174"/>
      <c r="Y50" s="174"/>
      <c r="Z50" s="174"/>
    </row>
    <row r="53" spans="1:26" s="172" customFormat="1" x14ac:dyDescent="0.3">
      <c r="A53" s="174"/>
      <c r="B53" s="238"/>
      <c r="C53" s="238"/>
      <c r="P53" s="174"/>
      <c r="Q53" s="174"/>
      <c r="T53" s="174"/>
      <c r="U53" s="174"/>
      <c r="V53" s="174"/>
      <c r="W53" s="174"/>
      <c r="X53" s="174"/>
      <c r="Y53" s="174"/>
      <c r="Z53" s="174"/>
    </row>
    <row r="54" spans="1:26" s="172" customFormat="1" x14ac:dyDescent="0.3">
      <c r="A54" s="174"/>
      <c r="B54" s="238"/>
      <c r="C54" s="238"/>
      <c r="P54" s="174"/>
      <c r="Q54" s="174"/>
      <c r="T54" s="174"/>
      <c r="U54" s="174"/>
      <c r="V54" s="174"/>
      <c r="W54" s="174"/>
      <c r="X54" s="174"/>
      <c r="Y54" s="174"/>
      <c r="Z54" s="174"/>
    </row>
    <row r="58" spans="1:26" s="172" customFormat="1" x14ac:dyDescent="0.3">
      <c r="A58" s="174"/>
      <c r="B58" s="238"/>
      <c r="C58" s="238"/>
      <c r="P58" s="174"/>
      <c r="Q58" s="174"/>
      <c r="T58" s="174"/>
      <c r="U58" s="174"/>
      <c r="V58" s="174"/>
      <c r="W58" s="174"/>
      <c r="X58" s="174"/>
      <c r="Y58" s="174"/>
      <c r="Z58" s="174"/>
    </row>
  </sheetData>
  <mergeCells count="16">
    <mergeCell ref="X2:Y2"/>
    <mergeCell ref="A4:A24"/>
    <mergeCell ref="A25:A34"/>
    <mergeCell ref="A39:A42"/>
    <mergeCell ref="L2:M2"/>
    <mergeCell ref="N2:O2"/>
    <mergeCell ref="P2:Q2"/>
    <mergeCell ref="R2:S2"/>
    <mergeCell ref="T2:U2"/>
    <mergeCell ref="V2:W2"/>
    <mergeCell ref="A2:A3"/>
    <mergeCell ref="B2:C2"/>
    <mergeCell ref="D2:E2"/>
    <mergeCell ref="F2:G2"/>
    <mergeCell ref="H2:I2"/>
    <mergeCell ref="J2:K2"/>
  </mergeCells>
  <phoneticPr fontId="1" type="noConversion"/>
  <conditionalFormatting sqref="G38 G4:G28 G30:G34">
    <cfRule type="containsText" dxfId="166" priority="116" operator="containsText" text="aaa">
      <formula>NOT(ISERROR(SEARCH("aaa",G4)))</formula>
    </cfRule>
  </conditionalFormatting>
  <conditionalFormatting sqref="M38 M4:M34">
    <cfRule type="containsText" dxfId="165" priority="110" operator="containsText" text="aaa">
      <formula>NOT(ISERROR(SEARCH("aaa",M4)))</formula>
    </cfRule>
  </conditionalFormatting>
  <conditionalFormatting sqref="M35 M37">
    <cfRule type="containsText" dxfId="164" priority="109" operator="containsText" text="aaa">
      <formula>NOT(ISERROR(SEARCH("aaa",M35)))</formula>
    </cfRule>
  </conditionalFormatting>
  <conditionalFormatting sqref="G35 G37">
    <cfRule type="containsText" dxfId="163" priority="115" operator="containsText" text="aaa">
      <formula>NOT(ISERROR(SEARCH("aaa",G35)))</formula>
    </cfRule>
  </conditionalFormatting>
  <conditionalFormatting sqref="I38 I4:I34">
    <cfRule type="containsText" dxfId="162" priority="114" operator="containsText" text="aaa">
      <formula>NOT(ISERROR(SEARCH("aaa",I4)))</formula>
    </cfRule>
  </conditionalFormatting>
  <conditionalFormatting sqref="I35:I37">
    <cfRule type="containsText" dxfId="161" priority="113" operator="containsText" text="aaa">
      <formula>NOT(ISERROR(SEARCH("aaa",I35)))</formula>
    </cfRule>
  </conditionalFormatting>
  <conditionalFormatting sqref="K38 K4:K34">
    <cfRule type="containsText" dxfId="160" priority="112" operator="containsText" text="aaa">
      <formula>NOT(ISERROR(SEARCH("aaa",K4)))</formula>
    </cfRule>
  </conditionalFormatting>
  <conditionalFormatting sqref="K35:K37">
    <cfRule type="containsText" dxfId="159" priority="111" operator="containsText" text="aaa">
      <formula>NOT(ISERROR(SEARCH("aaa",K35)))</formula>
    </cfRule>
  </conditionalFormatting>
  <conditionalFormatting sqref="Q35:Q37">
    <cfRule type="containsText" dxfId="158" priority="105" operator="containsText" text="aaa">
      <formula>NOT(ISERROR(SEARCH("aaa",Q35)))</formula>
    </cfRule>
  </conditionalFormatting>
  <conditionalFormatting sqref="O38 O4:O34">
    <cfRule type="containsText" dxfId="157" priority="108" operator="containsText" text="aaa">
      <formula>NOT(ISERROR(SEARCH("aaa",O4)))</formula>
    </cfRule>
  </conditionalFormatting>
  <conditionalFormatting sqref="O35:O37">
    <cfRule type="containsText" dxfId="156" priority="107" operator="containsText" text="aaa">
      <formula>NOT(ISERROR(SEARCH("aaa",O35)))</formula>
    </cfRule>
  </conditionalFormatting>
  <conditionalFormatting sqref="Q38 Q4 Q6:Q34">
    <cfRule type="containsText" dxfId="155" priority="106" operator="containsText" text="aaa">
      <formula>NOT(ISERROR(SEARCH("aaa",Q4)))</formula>
    </cfRule>
  </conditionalFormatting>
  <conditionalFormatting sqref="U38 U4 U6:U27 U29:U34">
    <cfRule type="containsText" dxfId="154" priority="102" operator="containsText" text="aaa">
      <formula>NOT(ISERROR(SEARCH("aaa",U4)))</formula>
    </cfRule>
  </conditionalFormatting>
  <conditionalFormatting sqref="S38 S4:S6 S8:S34">
    <cfRule type="containsText" dxfId="153" priority="104" operator="containsText" text="aaa">
      <formula>NOT(ISERROR(SEARCH("aaa",S4)))</formula>
    </cfRule>
  </conditionalFormatting>
  <conditionalFormatting sqref="S35 S37">
    <cfRule type="containsText" dxfId="152" priority="103" operator="containsText" text="aaa">
      <formula>NOT(ISERROR(SEARCH("aaa",S35)))</formula>
    </cfRule>
  </conditionalFormatting>
  <conditionalFormatting sqref="U35:U37">
    <cfRule type="containsText" dxfId="151" priority="101" operator="containsText" text="aaa">
      <formula>NOT(ISERROR(SEARCH("aaa",U35)))</formula>
    </cfRule>
  </conditionalFormatting>
  <conditionalFormatting sqref="V23">
    <cfRule type="containsText" dxfId="150" priority="87" operator="containsText" text="aaa">
      <formula>NOT(ISERROR(SEARCH("aaa",V23)))</formula>
    </cfRule>
  </conditionalFormatting>
  <conditionalFormatting sqref="X23">
    <cfRule type="containsText" dxfId="149" priority="86" operator="containsText" text="aaa">
      <formula>NOT(ISERROR(SEARCH("aaa",X23)))</formula>
    </cfRule>
  </conditionalFormatting>
  <conditionalFormatting sqref="Y38 Y10:Y34 Y4:Y8">
    <cfRule type="containsText" dxfId="148" priority="98" operator="containsText" text="aaa">
      <formula>NOT(ISERROR(SEARCH("aaa",Y4)))</formula>
    </cfRule>
  </conditionalFormatting>
  <conditionalFormatting sqref="U5">
    <cfRule type="containsText" dxfId="147" priority="84" operator="containsText" text="aaa">
      <formula>NOT(ISERROR(SEARCH("aaa",U5)))</formula>
    </cfRule>
  </conditionalFormatting>
  <conditionalFormatting sqref="Y35:Y37">
    <cfRule type="containsText" dxfId="146" priority="97" operator="containsText" text="aaa">
      <formula>NOT(ISERROR(SEARCH("aaa",Y35)))</formula>
    </cfRule>
  </conditionalFormatting>
  <conditionalFormatting sqref="C13:C21">
    <cfRule type="containsText" dxfId="145" priority="96" operator="containsText" text="aaa">
      <formula>NOT(ISERROR(SEARCH("aaa",C13)))</formula>
    </cfRule>
  </conditionalFormatting>
  <conditionalFormatting sqref="W38 W4:W5 W7:W34">
    <cfRule type="containsText" dxfId="144" priority="100" operator="containsText" text="aaa">
      <formula>NOT(ISERROR(SEARCH("aaa",W4)))</formula>
    </cfRule>
  </conditionalFormatting>
  <conditionalFormatting sqref="W35:W37">
    <cfRule type="containsText" dxfId="143" priority="99" operator="containsText" text="aaa">
      <formula>NOT(ISERROR(SEARCH("aaa",W35)))</formula>
    </cfRule>
  </conditionalFormatting>
  <conditionalFormatting sqref="L23">
    <cfRule type="containsText" dxfId="142" priority="92" operator="containsText" text="aaa">
      <formula>NOT(ISERROR(SEARCH("aaa",L23)))</formula>
    </cfRule>
  </conditionalFormatting>
  <conditionalFormatting sqref="H23">
    <cfRule type="containsText" dxfId="141" priority="94" operator="containsText" text="aaa">
      <formula>NOT(ISERROR(SEARCH("aaa",H23)))</formula>
    </cfRule>
  </conditionalFormatting>
  <conditionalFormatting sqref="P23">
    <cfRule type="containsText" dxfId="140" priority="90" operator="containsText" text="aaa">
      <formula>NOT(ISERROR(SEARCH("aaa",P23)))</formula>
    </cfRule>
  </conditionalFormatting>
  <conditionalFormatting sqref="P16:P20">
    <cfRule type="containsText" dxfId="139" priority="75" operator="containsText" text="aaa">
      <formula>NOT(ISERROR(SEARCH("aaa",P16)))</formula>
    </cfRule>
  </conditionalFormatting>
  <conditionalFormatting sqref="F23">
    <cfRule type="containsText" dxfId="138" priority="95" operator="containsText" text="aaa">
      <formula>NOT(ISERROR(SEARCH("aaa",F23)))</formula>
    </cfRule>
  </conditionalFormatting>
  <conditionalFormatting sqref="J23">
    <cfRule type="containsText" dxfId="137" priority="93" operator="containsText" text="aaa">
      <formula>NOT(ISERROR(SEARCH("aaa",J23)))</formula>
    </cfRule>
  </conditionalFormatting>
  <conditionalFormatting sqref="N23">
    <cfRule type="containsText" dxfId="136" priority="91" operator="containsText" text="aaa">
      <formula>NOT(ISERROR(SEARCH("aaa",N23)))</formula>
    </cfRule>
  </conditionalFormatting>
  <conditionalFormatting sqref="T16:T20">
    <cfRule type="containsText" dxfId="135" priority="73" operator="containsText" text="aaa">
      <formula>NOT(ISERROR(SEARCH("aaa",T16)))</formula>
    </cfRule>
  </conditionalFormatting>
  <conditionalFormatting sqref="R23">
    <cfRule type="containsText" dxfId="134" priority="89" operator="containsText" text="aaa">
      <formula>NOT(ISERROR(SEARCH("aaa",R23)))</formula>
    </cfRule>
  </conditionalFormatting>
  <conditionalFormatting sqref="T23">
    <cfRule type="containsText" dxfId="133" priority="88" operator="containsText" text="aaa">
      <formula>NOT(ISERROR(SEARCH("aaa",T23)))</formula>
    </cfRule>
  </conditionalFormatting>
  <conditionalFormatting sqref="Q5">
    <cfRule type="containsText" dxfId="132" priority="85" operator="containsText" text="aaa">
      <formula>NOT(ISERROR(SEARCH("aaa",Q5)))</formula>
    </cfRule>
  </conditionalFormatting>
  <conditionalFormatting sqref="Y9">
    <cfRule type="containsText" dxfId="131" priority="83" operator="containsText" text="aaa">
      <formula>NOT(ISERROR(SEARCH("aaa",Y9)))</formula>
    </cfRule>
  </conditionalFormatting>
  <conditionalFormatting sqref="I7">
    <cfRule type="containsText" dxfId="130" priority="82" operator="containsText" text="aaa">
      <formula>NOT(ISERROR(SEARCH("aaa",I7)))</formula>
    </cfRule>
  </conditionalFormatting>
  <conditionalFormatting sqref="E5">
    <cfRule type="containsText" dxfId="129" priority="81" operator="containsText" text="aaa">
      <formula>NOT(ISERROR(SEARCH("aaa",E5)))</formula>
    </cfRule>
  </conditionalFormatting>
  <conditionalFormatting sqref="F16:F20">
    <cfRule type="containsText" dxfId="128" priority="80" operator="containsText" text="aaa">
      <formula>NOT(ISERROR(SEARCH("aaa",F16)))</formula>
    </cfRule>
  </conditionalFormatting>
  <conditionalFormatting sqref="H16:H20">
    <cfRule type="containsText" dxfId="127" priority="79" operator="containsText" text="aaa">
      <formula>NOT(ISERROR(SEARCH("aaa",H16)))</formula>
    </cfRule>
  </conditionalFormatting>
  <conditionalFormatting sqref="J16:J20">
    <cfRule type="containsText" dxfId="126" priority="78" operator="containsText" text="aaa">
      <formula>NOT(ISERROR(SEARCH("aaa",J16)))</formula>
    </cfRule>
  </conditionalFormatting>
  <conditionalFormatting sqref="L16:L20">
    <cfRule type="containsText" dxfId="125" priority="77" operator="containsText" text="aaa">
      <formula>NOT(ISERROR(SEARCH("aaa",L16)))</formula>
    </cfRule>
  </conditionalFormatting>
  <conditionalFormatting sqref="N16:N20">
    <cfRule type="containsText" dxfId="124" priority="76" operator="containsText" text="aaa">
      <formula>NOT(ISERROR(SEARCH("aaa",N16)))</formula>
    </cfRule>
  </conditionalFormatting>
  <conditionalFormatting sqref="R16:R20">
    <cfRule type="containsText" dxfId="123" priority="74" operator="containsText" text="aaa">
      <formula>NOT(ISERROR(SEARCH("aaa",R16)))</formula>
    </cfRule>
  </conditionalFormatting>
  <conditionalFormatting sqref="V16:V20">
    <cfRule type="containsText" dxfId="122" priority="72" operator="containsText" text="aaa">
      <formula>NOT(ISERROR(SEARCH("aaa",V16)))</formula>
    </cfRule>
  </conditionalFormatting>
  <conditionalFormatting sqref="X16:X20">
    <cfRule type="containsText" dxfId="121" priority="71" operator="containsText" text="aaa">
      <formula>NOT(ISERROR(SEARCH("aaa",X16)))</formula>
    </cfRule>
  </conditionalFormatting>
  <conditionalFormatting sqref="H7">
    <cfRule type="containsText" dxfId="120" priority="70" operator="containsText" text="aaa">
      <formula>NOT(ISERROR(SEARCH("aaa",H7)))</formula>
    </cfRule>
  </conditionalFormatting>
  <conditionalFormatting sqref="T5">
    <cfRule type="containsText" dxfId="119" priority="69" operator="containsText" text="aaa">
      <formula>NOT(ISERROR(SEARCH("aaa",T5)))</formula>
    </cfRule>
  </conditionalFormatting>
  <conditionalFormatting sqref="X9">
    <cfRule type="containsText" dxfId="118" priority="68" operator="containsText" text="aaa">
      <formula>NOT(ISERROR(SEARCH("aaa",X9)))</formula>
    </cfRule>
  </conditionalFormatting>
  <conditionalFormatting sqref="G3">
    <cfRule type="containsText" dxfId="117" priority="67" operator="containsText" text="aaa">
      <formula>NOT(ISERROR(SEARCH("aaa",G3)))</formula>
    </cfRule>
  </conditionalFormatting>
  <conditionalFormatting sqref="I3">
    <cfRule type="containsText" dxfId="116" priority="66" operator="containsText" text="aaa">
      <formula>NOT(ISERROR(SEARCH("aaa",I3)))</formula>
    </cfRule>
  </conditionalFormatting>
  <conditionalFormatting sqref="K3">
    <cfRule type="containsText" dxfId="115" priority="65" operator="containsText" text="aaa">
      <formula>NOT(ISERROR(SEARCH("aaa",K3)))</formula>
    </cfRule>
  </conditionalFormatting>
  <conditionalFormatting sqref="M3">
    <cfRule type="containsText" dxfId="114" priority="64" operator="containsText" text="aaa">
      <formula>NOT(ISERROR(SEARCH("aaa",M3)))</formula>
    </cfRule>
  </conditionalFormatting>
  <conditionalFormatting sqref="O3">
    <cfRule type="containsText" dxfId="113" priority="63" operator="containsText" text="aaa">
      <formula>NOT(ISERROR(SEARCH("aaa",O3)))</formula>
    </cfRule>
  </conditionalFormatting>
  <conditionalFormatting sqref="Q3">
    <cfRule type="containsText" dxfId="112" priority="62" operator="containsText" text="aaa">
      <formula>NOT(ISERROR(SEARCH("aaa",Q3)))</formula>
    </cfRule>
  </conditionalFormatting>
  <conditionalFormatting sqref="S3">
    <cfRule type="containsText" dxfId="111" priority="61" operator="containsText" text="aaa">
      <formula>NOT(ISERROR(SEARCH("aaa",S3)))</formula>
    </cfRule>
  </conditionalFormatting>
  <conditionalFormatting sqref="U3">
    <cfRule type="containsText" dxfId="110" priority="60" operator="containsText" text="aaa">
      <formula>NOT(ISERROR(SEARCH("aaa",U3)))</formula>
    </cfRule>
  </conditionalFormatting>
  <conditionalFormatting sqref="W3">
    <cfRule type="containsText" dxfId="109" priority="59" operator="containsText" text="aaa">
      <formula>NOT(ISERROR(SEARCH("aaa",W3)))</formula>
    </cfRule>
  </conditionalFormatting>
  <conditionalFormatting sqref="Y3">
    <cfRule type="containsText" dxfId="108" priority="58" operator="containsText" text="aaa">
      <formula>NOT(ISERROR(SEARCH("aaa",Y3)))</formula>
    </cfRule>
  </conditionalFormatting>
  <conditionalFormatting sqref="F22">
    <cfRule type="containsText" dxfId="107" priority="57" operator="containsText" text="aaa">
      <formula>NOT(ISERROR(SEARCH("aaa",F22)))</formula>
    </cfRule>
  </conditionalFormatting>
  <conditionalFormatting sqref="H22">
    <cfRule type="containsText" dxfId="106" priority="56" operator="containsText" text="aaa">
      <formula>NOT(ISERROR(SEARCH("aaa",H22)))</formula>
    </cfRule>
  </conditionalFormatting>
  <conditionalFormatting sqref="J22">
    <cfRule type="containsText" dxfId="105" priority="55" operator="containsText" text="aaa">
      <formula>NOT(ISERROR(SEARCH("aaa",J22)))</formula>
    </cfRule>
  </conditionalFormatting>
  <conditionalFormatting sqref="L22">
    <cfRule type="containsText" dxfId="104" priority="54" operator="containsText" text="aaa">
      <formula>NOT(ISERROR(SEARCH("aaa",L22)))</formula>
    </cfRule>
  </conditionalFormatting>
  <conditionalFormatting sqref="N22">
    <cfRule type="containsText" dxfId="103" priority="53" operator="containsText" text="aaa">
      <formula>NOT(ISERROR(SEARCH("aaa",N22)))</formula>
    </cfRule>
  </conditionalFormatting>
  <conditionalFormatting sqref="P22">
    <cfRule type="containsText" dxfId="102" priority="52" operator="containsText" text="aaa">
      <formula>NOT(ISERROR(SEARCH("aaa",P22)))</formula>
    </cfRule>
  </conditionalFormatting>
  <conditionalFormatting sqref="R22">
    <cfRule type="containsText" dxfId="101" priority="51" operator="containsText" text="aaa">
      <formula>NOT(ISERROR(SEARCH("aaa",R22)))</formula>
    </cfRule>
  </conditionalFormatting>
  <conditionalFormatting sqref="T22">
    <cfRule type="containsText" dxfId="100" priority="50" operator="containsText" text="aaa">
      <formula>NOT(ISERROR(SEARCH("aaa",T22)))</formula>
    </cfRule>
  </conditionalFormatting>
  <conditionalFormatting sqref="V22">
    <cfRule type="containsText" dxfId="99" priority="49" operator="containsText" text="aaa">
      <formula>NOT(ISERROR(SEARCH("aaa",V22)))</formula>
    </cfRule>
  </conditionalFormatting>
  <conditionalFormatting sqref="X22">
    <cfRule type="containsText" dxfId="98" priority="48" operator="containsText" text="aaa">
      <formula>NOT(ISERROR(SEARCH("aaa",X22)))</formula>
    </cfRule>
  </conditionalFormatting>
  <conditionalFormatting sqref="T28">
    <cfRule type="containsText" dxfId="97" priority="47" operator="containsText" text="aaa">
      <formula>NOT(ISERROR(SEARCH("aaa",T28)))</formula>
    </cfRule>
  </conditionalFormatting>
  <conditionalFormatting sqref="U28">
    <cfRule type="containsText" dxfId="96" priority="46" operator="containsText" text="aaa">
      <formula>NOT(ISERROR(SEARCH("aaa",U28)))</formula>
    </cfRule>
  </conditionalFormatting>
  <conditionalFormatting sqref="D7:E7">
    <cfRule type="containsText" dxfId="95" priority="45" operator="containsText" text="aaa">
      <formula>NOT(ISERROR(SEARCH("aaa",D7)))</formula>
    </cfRule>
  </conditionalFormatting>
  <conditionalFormatting sqref="T6">
    <cfRule type="containsText" dxfId="94" priority="44" operator="containsText" text="aaa">
      <formula>NOT(ISERROR(SEARCH("aaa",T6)))</formula>
    </cfRule>
  </conditionalFormatting>
  <conditionalFormatting sqref="L37">
    <cfRule type="containsText" dxfId="93" priority="43" operator="containsText" text="aaa">
      <formula>NOT(ISERROR(SEARCH("aaa",L37)))</formula>
    </cfRule>
  </conditionalFormatting>
  <conditionalFormatting sqref="N36:N37">
    <cfRule type="containsText" dxfId="92" priority="42" operator="containsText" text="aaa">
      <formula>NOT(ISERROR(SEARCH("aaa",N36)))</formula>
    </cfRule>
  </conditionalFormatting>
  <conditionalFormatting sqref="P36:P37">
    <cfRule type="containsText" dxfId="91" priority="41" operator="containsText" text="aaa">
      <formula>NOT(ISERROR(SEARCH("aaa",P36)))</formula>
    </cfRule>
  </conditionalFormatting>
  <conditionalFormatting sqref="R37">
    <cfRule type="containsText" dxfId="90" priority="40" operator="containsText" text="aaa">
      <formula>NOT(ISERROR(SEARCH("aaa",R37)))</formula>
    </cfRule>
  </conditionalFormatting>
  <conditionalFormatting sqref="T36:T37">
    <cfRule type="containsText" dxfId="89" priority="39" operator="containsText" text="aaa">
      <formula>NOT(ISERROR(SEARCH("aaa",T36)))</formula>
    </cfRule>
  </conditionalFormatting>
  <conditionalFormatting sqref="V36:V37">
    <cfRule type="containsText" dxfId="88" priority="38" operator="containsText" text="aaa">
      <formula>NOT(ISERROR(SEARCH("aaa",V36)))</formula>
    </cfRule>
  </conditionalFormatting>
  <conditionalFormatting sqref="X36:X37">
    <cfRule type="containsText" dxfId="87" priority="37" operator="containsText" text="aaa">
      <formula>NOT(ISERROR(SEARCH("aaa",X36)))</formula>
    </cfRule>
  </conditionalFormatting>
  <conditionalFormatting sqref="B1:Y1 B43:Y1048576 B2 D2 F2 H2 J2 L2 N2 P2 R2 T2 V2 X2 B38:D38 F38 H38 J38 Z25:Z34 B13:B21 B4:D4 B3:E3 D13:D21 B22:D34 H25:H34 J25:J34 N25:N34 F25:F28 F30 L25:L28 X25:X29 B7:C9 B10:D10 B6:D6 B5:C5 F32:F34 L30:L34 X31:X34 B12:D12 C11:D11">
    <cfRule type="containsText" dxfId="86" priority="167" operator="containsText" text="aaa">
      <formula>NOT(ISERROR(SEARCH("aaa",B1)))</formula>
    </cfRule>
  </conditionalFormatting>
  <conditionalFormatting sqref="P4 P6:P12">
    <cfRule type="containsText" dxfId="85" priority="161" operator="containsText" text="aaa">
      <formula>NOT(ISERROR(SEARCH("aaa",P4)))</formula>
    </cfRule>
  </conditionalFormatting>
  <conditionalFormatting sqref="R4:R6 R8:R12">
    <cfRule type="containsText" dxfId="84" priority="160" operator="containsText" text="aaa">
      <formula>NOT(ISERROR(SEARCH("aaa",R4)))</formula>
    </cfRule>
  </conditionalFormatting>
  <conditionalFormatting sqref="P27:P32 P34">
    <cfRule type="containsText" dxfId="83" priority="166" operator="containsText" text="aaa">
      <formula>NOT(ISERROR(SEARCH("aaa",P27)))</formula>
    </cfRule>
  </conditionalFormatting>
  <conditionalFormatting sqref="Z2">
    <cfRule type="containsText" dxfId="82" priority="165" operator="containsText" text="aaa">
      <formula>NOT(ISERROR(SEARCH("aaa",Z2)))</formula>
    </cfRule>
  </conditionalFormatting>
  <conditionalFormatting sqref="F4:F12 J4:J12 L4:L12 N4:N12 X4:X8 X10:X12 H4:H12">
    <cfRule type="containsText" dxfId="81" priority="164" operator="containsText" text="aaa">
      <formula>NOT(ISERROR(SEARCH("aaa",F4)))</formula>
    </cfRule>
  </conditionalFormatting>
  <conditionalFormatting sqref="V4:V5 V7:V12">
    <cfRule type="containsText" dxfId="80" priority="163" operator="containsText" text="aaa">
      <formula>NOT(ISERROR(SEARCH("aaa",V4)))</formula>
    </cfRule>
  </conditionalFormatting>
  <conditionalFormatting sqref="T4 T7:T12">
    <cfRule type="containsText" dxfId="79" priority="162" operator="containsText" text="aaa">
      <formula>NOT(ISERROR(SEARCH("aaa",T4)))</formula>
    </cfRule>
  </conditionalFormatting>
  <conditionalFormatting sqref="R28:R32 R34">
    <cfRule type="containsText" dxfId="78" priority="156" operator="containsText" text="aaa">
      <formula>NOT(ISERROR(SEARCH("aaa",R28)))</formula>
    </cfRule>
  </conditionalFormatting>
  <conditionalFormatting sqref="Z3:Z24">
    <cfRule type="containsText" dxfId="77" priority="159" operator="containsText" text="aaa">
      <formula>NOT(ISERROR(SEARCH("aaa",Z3)))</formula>
    </cfRule>
  </conditionalFormatting>
  <conditionalFormatting sqref="A1">
    <cfRule type="containsText" dxfId="76" priority="158" operator="containsText" text="aaa">
      <formula>NOT(ISERROR(SEARCH("aaa",A1)))</formula>
    </cfRule>
  </conditionalFormatting>
  <conditionalFormatting sqref="T27 T34 T29:T32">
    <cfRule type="containsText" dxfId="75" priority="157" operator="containsText" text="aaa">
      <formula>NOT(ISERROR(SEARCH("aaa",T27)))</formula>
    </cfRule>
  </conditionalFormatting>
  <conditionalFormatting sqref="Z38">
    <cfRule type="containsText" dxfId="74" priority="153" operator="containsText" text="aaa">
      <formula>NOT(ISERROR(SEARCH("aaa",Z38)))</formula>
    </cfRule>
  </conditionalFormatting>
  <conditionalFormatting sqref="V27:V32 V34">
    <cfRule type="containsText" dxfId="73" priority="155" operator="containsText" text="aaa">
      <formula>NOT(ISERROR(SEARCH("aaa",V27)))</formula>
    </cfRule>
  </conditionalFormatting>
  <conditionalFormatting sqref="X38">
    <cfRule type="containsText" dxfId="72" priority="154" operator="containsText" text="aaa">
      <formula>NOT(ISERROR(SEARCH("aaa",X38)))</formula>
    </cfRule>
  </conditionalFormatting>
  <conditionalFormatting sqref="V38">
    <cfRule type="containsText" dxfId="71" priority="152" operator="containsText" text="aaa">
      <formula>NOT(ISERROR(SEARCH("aaa",V38)))</formula>
    </cfRule>
  </conditionalFormatting>
  <conditionalFormatting sqref="F13:F15 F24 F21">
    <cfRule type="containsText" dxfId="70" priority="138" operator="containsText" text="aaa">
      <formula>NOT(ISERROR(SEARCH("aaa",F13)))</formula>
    </cfRule>
  </conditionalFormatting>
  <conditionalFormatting sqref="H13:H15 H24 H21">
    <cfRule type="containsText" dxfId="69" priority="137" operator="containsText" text="aaa">
      <formula>NOT(ISERROR(SEARCH("aaa",H13)))</formula>
    </cfRule>
  </conditionalFormatting>
  <conditionalFormatting sqref="L38 N38 P38">
    <cfRule type="containsText" dxfId="68" priority="149" operator="containsText" text="aaa">
      <formula>NOT(ISERROR(SEARCH("aaa",L38)))</formula>
    </cfRule>
  </conditionalFormatting>
  <conditionalFormatting sqref="L13:L15 L24 L21">
    <cfRule type="containsText" dxfId="67" priority="135" operator="containsText" text="aaa">
      <formula>NOT(ISERROR(SEARCH("aaa",L13)))</formula>
    </cfRule>
  </conditionalFormatting>
  <conditionalFormatting sqref="F3">
    <cfRule type="containsText" dxfId="66" priority="148" operator="containsText" text="aaa">
      <formula>NOT(ISERROR(SEARCH("aaa",F3)))</formula>
    </cfRule>
  </conditionalFormatting>
  <conditionalFormatting sqref="H3">
    <cfRule type="containsText" dxfId="65" priority="147" operator="containsText" text="aaa">
      <formula>NOT(ISERROR(SEARCH("aaa",H3)))</formula>
    </cfRule>
  </conditionalFormatting>
  <conditionalFormatting sqref="T38">
    <cfRule type="containsText" dxfId="64" priority="151" operator="containsText" text="aaa">
      <formula>NOT(ISERROR(SEARCH("aaa",T38)))</formula>
    </cfRule>
  </conditionalFormatting>
  <conditionalFormatting sqref="R38">
    <cfRule type="containsText" dxfId="63" priority="150" operator="containsText" text="aaa">
      <formula>NOT(ISERROR(SEARCH("aaa",R38)))</formula>
    </cfRule>
  </conditionalFormatting>
  <conditionalFormatting sqref="P3">
    <cfRule type="containsText" dxfId="62" priority="143" operator="containsText" text="aaa">
      <formula>NOT(ISERROR(SEARCH("aaa",P3)))</formula>
    </cfRule>
  </conditionalFormatting>
  <conditionalFormatting sqref="L3">
    <cfRule type="containsText" dxfId="61" priority="145" operator="containsText" text="aaa">
      <formula>NOT(ISERROR(SEARCH("aaa",L3)))</formula>
    </cfRule>
  </conditionalFormatting>
  <conditionalFormatting sqref="T3">
    <cfRule type="containsText" dxfId="60" priority="141" operator="containsText" text="aaa">
      <formula>NOT(ISERROR(SEARCH("aaa",T3)))</formula>
    </cfRule>
  </conditionalFormatting>
  <conditionalFormatting sqref="T25">
    <cfRule type="containsText" dxfId="59" priority="126" operator="containsText" text="aaa">
      <formula>NOT(ISERROR(SEARCH("aaa",T25)))</formula>
    </cfRule>
  </conditionalFormatting>
  <conditionalFormatting sqref="J3">
    <cfRule type="containsText" dxfId="58" priority="146" operator="containsText" text="aaa">
      <formula>NOT(ISERROR(SEARCH("aaa",J3)))</formula>
    </cfRule>
  </conditionalFormatting>
  <conditionalFormatting sqref="N3">
    <cfRule type="containsText" dxfId="57" priority="144" operator="containsText" text="aaa">
      <formula>NOT(ISERROR(SEARCH("aaa",N3)))</formula>
    </cfRule>
  </conditionalFormatting>
  <conditionalFormatting sqref="R3">
    <cfRule type="containsText" dxfId="56" priority="142" operator="containsText" text="aaa">
      <formula>NOT(ISERROR(SEARCH("aaa",R3)))</formula>
    </cfRule>
  </conditionalFormatting>
  <conditionalFormatting sqref="P33">
    <cfRule type="containsText" dxfId="55" priority="124" operator="containsText" text="aaa">
      <formula>NOT(ISERROR(SEARCH("aaa",P33)))</formula>
    </cfRule>
  </conditionalFormatting>
  <conditionalFormatting sqref="V3">
    <cfRule type="containsText" dxfId="54" priority="140" operator="containsText" text="aaa">
      <formula>NOT(ISERROR(SEARCH("aaa",V3)))</formula>
    </cfRule>
  </conditionalFormatting>
  <conditionalFormatting sqref="X3">
    <cfRule type="containsText" dxfId="53" priority="139" operator="containsText" text="aaa">
      <formula>NOT(ISERROR(SEARCH("aaa",X3)))</formula>
    </cfRule>
  </conditionalFormatting>
  <conditionalFormatting sqref="J13:J15 J24 J21">
    <cfRule type="containsText" dxfId="52" priority="136" operator="containsText" text="aaa">
      <formula>NOT(ISERROR(SEARCH("aaa",J13)))</formula>
    </cfRule>
  </conditionalFormatting>
  <conditionalFormatting sqref="N13:N15 N24 N21">
    <cfRule type="containsText" dxfId="51" priority="134" operator="containsText" text="aaa">
      <formula>NOT(ISERROR(SEARCH("aaa",N13)))</formula>
    </cfRule>
  </conditionalFormatting>
  <conditionalFormatting sqref="P13:P15 P24 P21">
    <cfRule type="containsText" dxfId="50" priority="133" operator="containsText" text="aaa">
      <formula>NOT(ISERROR(SEARCH("aaa",P13)))</formula>
    </cfRule>
  </conditionalFormatting>
  <conditionalFormatting sqref="R13:R15 R24 R21">
    <cfRule type="containsText" dxfId="49" priority="132" operator="containsText" text="aaa">
      <formula>NOT(ISERROR(SEARCH("aaa",R13)))</formula>
    </cfRule>
  </conditionalFormatting>
  <conditionalFormatting sqref="T13:T15 T24 T21">
    <cfRule type="containsText" dxfId="48" priority="131" operator="containsText" text="aaa">
      <formula>NOT(ISERROR(SEARCH("aaa",T13)))</formula>
    </cfRule>
  </conditionalFormatting>
  <conditionalFormatting sqref="V13:V15 V24 V21">
    <cfRule type="containsText" dxfId="47" priority="130" operator="containsText" text="aaa">
      <formula>NOT(ISERROR(SEARCH("aaa",V13)))</formula>
    </cfRule>
  </conditionalFormatting>
  <conditionalFormatting sqref="X13:X15 X24 X21">
    <cfRule type="containsText" dxfId="46" priority="129" operator="containsText" text="aaa">
      <formula>NOT(ISERROR(SEARCH("aaa",X13)))</formula>
    </cfRule>
  </conditionalFormatting>
  <conditionalFormatting sqref="P25">
    <cfRule type="containsText" dxfId="45" priority="128" operator="containsText" text="aaa">
      <formula>NOT(ISERROR(SEARCH("aaa",P25)))</formula>
    </cfRule>
  </conditionalFormatting>
  <conditionalFormatting sqref="R25">
    <cfRule type="containsText" dxfId="44" priority="127" operator="containsText" text="aaa">
      <formula>NOT(ISERROR(SEARCH("aaa",R25)))</formula>
    </cfRule>
  </conditionalFormatting>
  <conditionalFormatting sqref="V25">
    <cfRule type="containsText" dxfId="43" priority="125" operator="containsText" text="aaa">
      <formula>NOT(ISERROR(SEARCH("aaa",V25)))</formula>
    </cfRule>
  </conditionalFormatting>
  <conditionalFormatting sqref="R33">
    <cfRule type="containsText" dxfId="42" priority="123" operator="containsText" text="aaa">
      <formula>NOT(ISERROR(SEARCH("aaa",R33)))</formula>
    </cfRule>
  </conditionalFormatting>
  <conditionalFormatting sqref="T33">
    <cfRule type="containsText" dxfId="41" priority="122" operator="containsText" text="aaa">
      <formula>NOT(ISERROR(SEARCH("aaa",T33)))</formula>
    </cfRule>
  </conditionalFormatting>
  <conditionalFormatting sqref="V33">
    <cfRule type="containsText" dxfId="40" priority="121" operator="containsText" text="aaa">
      <formula>NOT(ISERROR(SEARCH("aaa",V33)))</formula>
    </cfRule>
  </conditionalFormatting>
  <conditionalFormatting sqref="F35:F37 H35:H37 J35:J37 B35:D37">
    <cfRule type="containsText" dxfId="39" priority="120" operator="containsText" text="aaa">
      <formula>NOT(ISERROR(SEARCH("aaa",B35)))</formula>
    </cfRule>
  </conditionalFormatting>
  <conditionalFormatting sqref="Z35:Z37">
    <cfRule type="containsText" dxfId="38" priority="119" operator="containsText" text="aaa">
      <formula>NOT(ISERROR(SEARCH("aaa",Z35)))</formula>
    </cfRule>
  </conditionalFormatting>
  <conditionalFormatting sqref="E38 E4 E6 E10:E34">
    <cfRule type="containsText" dxfId="37" priority="118" operator="containsText" text="aaa">
      <formula>NOT(ISERROR(SEARCH("aaa",E4)))</formula>
    </cfRule>
  </conditionalFormatting>
  <conditionalFormatting sqref="E35:E37">
    <cfRule type="containsText" dxfId="36" priority="117" operator="containsText" text="aaa">
      <formula>NOT(ISERROR(SEARCH("aaa",E35)))</formula>
    </cfRule>
  </conditionalFormatting>
  <conditionalFormatting sqref="L35">
    <cfRule type="containsText" dxfId="35" priority="36" operator="containsText" text="aaa">
      <formula>NOT(ISERROR(SEARCH("aaa",L35)))</formula>
    </cfRule>
  </conditionalFormatting>
  <conditionalFormatting sqref="N35">
    <cfRule type="containsText" dxfId="34" priority="35" operator="containsText" text="aaa">
      <formula>NOT(ISERROR(SEARCH("aaa",N35)))</formula>
    </cfRule>
  </conditionalFormatting>
  <conditionalFormatting sqref="P35">
    <cfRule type="containsText" dxfId="33" priority="34" operator="containsText" text="aaa">
      <formula>NOT(ISERROR(SEARCH("aaa",P35)))</formula>
    </cfRule>
  </conditionalFormatting>
  <conditionalFormatting sqref="R35">
    <cfRule type="containsText" dxfId="32" priority="33" operator="containsText" text="aaa">
      <formula>NOT(ISERROR(SEARCH("aaa",R35)))</formula>
    </cfRule>
  </conditionalFormatting>
  <conditionalFormatting sqref="T35">
    <cfRule type="containsText" dxfId="31" priority="32" operator="containsText" text="aaa">
      <formula>NOT(ISERROR(SEARCH("aaa",T35)))</formula>
    </cfRule>
  </conditionalFormatting>
  <conditionalFormatting sqref="V35">
    <cfRule type="containsText" dxfId="30" priority="31" operator="containsText" text="aaa">
      <formula>NOT(ISERROR(SEARCH("aaa",V35)))</formula>
    </cfRule>
  </conditionalFormatting>
  <conditionalFormatting sqref="X35">
    <cfRule type="containsText" dxfId="29" priority="30" operator="containsText" text="aaa">
      <formula>NOT(ISERROR(SEARCH("aaa",X35)))</formula>
    </cfRule>
  </conditionalFormatting>
  <conditionalFormatting sqref="P26">
    <cfRule type="containsText" dxfId="28" priority="29" operator="containsText" text="aaa">
      <formula>NOT(ISERROR(SEARCH("aaa",P26)))</formula>
    </cfRule>
  </conditionalFormatting>
  <conditionalFormatting sqref="R26">
    <cfRule type="containsText" dxfId="27" priority="28" operator="containsText" text="aaa">
      <formula>NOT(ISERROR(SEARCH("aaa",R26)))</formula>
    </cfRule>
  </conditionalFormatting>
  <conditionalFormatting sqref="T26">
    <cfRule type="containsText" dxfId="26" priority="27" operator="containsText" text="aaa">
      <formula>NOT(ISERROR(SEARCH("aaa",T26)))</formula>
    </cfRule>
  </conditionalFormatting>
  <conditionalFormatting sqref="V26">
    <cfRule type="containsText" dxfId="25" priority="26" operator="containsText" text="aaa">
      <formula>NOT(ISERROR(SEARCH("aaa",V26)))</formula>
    </cfRule>
  </conditionalFormatting>
  <conditionalFormatting sqref="G29">
    <cfRule type="containsText" dxfId="24" priority="24" operator="containsText" text="aaa">
      <formula>NOT(ISERROR(SEARCH("aaa",G29)))</formula>
    </cfRule>
  </conditionalFormatting>
  <conditionalFormatting sqref="F29">
    <cfRule type="containsText" dxfId="23" priority="25" operator="containsText" text="aaa">
      <formula>NOT(ISERROR(SEARCH("aaa",F29)))</formula>
    </cfRule>
  </conditionalFormatting>
  <conditionalFormatting sqref="D8:E8">
    <cfRule type="containsText" dxfId="22" priority="23" operator="containsText" text="aaa">
      <formula>NOT(ISERROR(SEARCH("aaa",D8)))</formula>
    </cfRule>
  </conditionalFormatting>
  <conditionalFormatting sqref="D9:E9">
    <cfRule type="containsText" dxfId="21" priority="22" operator="containsText" text="aaa">
      <formula>NOT(ISERROR(SEARCH("aaa",D9)))</formula>
    </cfRule>
  </conditionalFormatting>
  <conditionalFormatting sqref="W6">
    <cfRule type="containsText" dxfId="20" priority="21" operator="containsText" text="aaa">
      <formula>NOT(ISERROR(SEARCH("aaa",W6)))</formula>
    </cfRule>
  </conditionalFormatting>
  <conditionalFormatting sqref="V6">
    <cfRule type="containsText" dxfId="19" priority="20" operator="containsText" text="aaa">
      <formula>NOT(ISERROR(SEARCH("aaa",V6)))</formula>
    </cfRule>
  </conditionalFormatting>
  <conditionalFormatting sqref="P5">
    <cfRule type="containsText" dxfId="18" priority="19" operator="containsText" text="aaa">
      <formula>NOT(ISERROR(SEARCH("aaa",P5)))</formula>
    </cfRule>
  </conditionalFormatting>
  <conditionalFormatting sqref="D5">
    <cfRule type="containsText" dxfId="17" priority="18" operator="containsText" text="aaa">
      <formula>NOT(ISERROR(SEARCH("aaa",D5)))</formula>
    </cfRule>
  </conditionalFormatting>
  <conditionalFormatting sqref="S7">
    <cfRule type="containsText" dxfId="16" priority="17" operator="containsText" text="aaa">
      <formula>NOT(ISERROR(SEARCH("aaa",S7)))</formula>
    </cfRule>
  </conditionalFormatting>
  <conditionalFormatting sqref="R7">
    <cfRule type="containsText" dxfId="15" priority="16" operator="containsText" text="aaa">
      <formula>NOT(ISERROR(SEARCH("aaa",R7)))</formula>
    </cfRule>
  </conditionalFormatting>
  <conditionalFormatting sqref="D8:E8">
    <cfRule type="containsText" dxfId="14" priority="12" operator="containsText" text="aaa">
      <formula>NOT(ISERROR(SEARCH("aaa",D8)))</formula>
    </cfRule>
  </conditionalFormatting>
  <conditionalFormatting sqref="B11">
    <cfRule type="containsText" dxfId="13" priority="1" operator="containsText" text="aaa">
      <formula>NOT(ISERROR(SEARCH("aaa",B11)))</formula>
    </cfRule>
  </conditionalFormatting>
  <conditionalFormatting sqref="D9">
    <cfRule type="containsText" dxfId="12" priority="15" operator="containsText" text="aaa">
      <formula>NOT(ISERROR(SEARCH("aaa",D9)))</formula>
    </cfRule>
  </conditionalFormatting>
  <conditionalFormatting sqref="E9">
    <cfRule type="containsText" dxfId="11" priority="14" operator="containsText" text="aaa">
      <formula>NOT(ISERROR(SEARCH("aaa",E9)))</formula>
    </cfRule>
  </conditionalFormatting>
  <conditionalFormatting sqref="D7:E7">
    <cfRule type="containsText" dxfId="10" priority="13" operator="containsText" text="aaa">
      <formula>NOT(ISERROR(SEARCH("aaa",D7)))</formula>
    </cfRule>
  </conditionalFormatting>
  <conditionalFormatting sqref="F31">
    <cfRule type="containsText" dxfId="9" priority="11" operator="containsText" text="aaa">
      <formula>NOT(ISERROR(SEARCH("aaa",F31)))</formula>
    </cfRule>
  </conditionalFormatting>
  <conditionalFormatting sqref="L29">
    <cfRule type="containsText" dxfId="8" priority="10" operator="containsText" text="aaa">
      <formula>NOT(ISERROR(SEARCH("aaa",L29)))</formula>
    </cfRule>
  </conditionalFormatting>
  <conditionalFormatting sqref="R27">
    <cfRule type="containsText" dxfId="7" priority="9" operator="containsText" text="aaa">
      <formula>NOT(ISERROR(SEARCH("aaa",R27)))</formula>
    </cfRule>
  </conditionalFormatting>
  <conditionalFormatting sqref="X30">
    <cfRule type="containsText" dxfId="6" priority="8" operator="containsText" text="aaa">
      <formula>NOT(ISERROR(SEARCH("aaa",X30)))</formula>
    </cfRule>
  </conditionalFormatting>
  <conditionalFormatting sqref="L36">
    <cfRule type="containsText" dxfId="5" priority="7" operator="containsText" text="aaa">
      <formula>NOT(ISERROR(SEARCH("aaa",L36)))</formula>
    </cfRule>
  </conditionalFormatting>
  <conditionalFormatting sqref="R36">
    <cfRule type="containsText" dxfId="4" priority="6" operator="containsText" text="aaa">
      <formula>NOT(ISERROR(SEARCH("aaa",R36)))</formula>
    </cfRule>
  </conditionalFormatting>
  <conditionalFormatting sqref="S36">
    <cfRule type="containsText" dxfId="3" priority="5" operator="containsText" text="aaa">
      <formula>NOT(ISERROR(SEARCH("aaa",S36)))</formula>
    </cfRule>
  </conditionalFormatting>
  <conditionalFormatting sqref="M36">
    <cfRule type="containsText" dxfId="2" priority="4" operator="containsText" text="aaa">
      <formula>NOT(ISERROR(SEARCH("aaa",M36)))</formula>
    </cfRule>
  </conditionalFormatting>
  <conditionalFormatting sqref="G36">
    <cfRule type="containsText" dxfId="1" priority="3" operator="containsText" text="aaa">
      <formula>NOT(ISERROR(SEARCH("aaa",G36)))</formula>
    </cfRule>
  </conditionalFormatting>
  <conditionalFormatting sqref="B11">
    <cfRule type="containsText" dxfId="0" priority="2" operator="containsText" text="aaa">
      <formula>NOT(ISERROR(SEARCH("aaa",B11)))</formula>
    </cfRule>
  </conditionalFormatting>
  <pageMargins left="0.39370078740157483" right="0.39370078740157483" top="0.98425196850393704" bottom="0.39370078740157483" header="0.11811023622047245" footer="0.11811023622047245"/>
  <pageSetup paperSize="9" scale="3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B1:J68"/>
  <sheetViews>
    <sheetView zoomScale="115" zoomScaleNormal="115" workbookViewId="0">
      <selection activeCell="M22" sqref="M22"/>
    </sheetView>
  </sheetViews>
  <sheetFormatPr defaultRowHeight="16.5" x14ac:dyDescent="0.3"/>
  <cols>
    <col min="1" max="1" width="1" customWidth="1"/>
    <col min="2" max="2" width="6.75" customWidth="1"/>
    <col min="4" max="5" width="5.625" customWidth="1"/>
    <col min="6" max="6" width="25.625" style="394" customWidth="1"/>
    <col min="10" max="10" width="19.75" style="394" customWidth="1"/>
    <col min="11" max="11" width="0.875" customWidth="1"/>
  </cols>
  <sheetData>
    <row r="1" spans="2:10" ht="9" customHeight="1" x14ac:dyDescent="0.3"/>
    <row r="2" spans="2:10" ht="20.25" x14ac:dyDescent="0.3">
      <c r="B2" s="714" t="s">
        <v>548</v>
      </c>
      <c r="C2" s="714"/>
      <c r="D2" s="714"/>
      <c r="E2" s="714"/>
      <c r="F2" s="714"/>
      <c r="G2" s="714"/>
      <c r="H2" s="714"/>
      <c r="I2" s="714"/>
      <c r="J2" s="714"/>
    </row>
    <row r="3" spans="2:10" x14ac:dyDescent="0.3">
      <c r="J3" s="395" t="s">
        <v>549</v>
      </c>
    </row>
    <row r="4" spans="2:10" ht="5.25" customHeight="1" x14ac:dyDescent="0.3"/>
    <row r="5" spans="2:10" ht="18" thickBot="1" x14ac:dyDescent="0.35">
      <c r="B5" s="396" t="s">
        <v>550</v>
      </c>
    </row>
    <row r="6" spans="2:10" x14ac:dyDescent="0.3">
      <c r="B6" s="715" t="s">
        <v>551</v>
      </c>
      <c r="C6" s="716"/>
      <c r="D6" s="719" t="s">
        <v>552</v>
      </c>
      <c r="E6" s="720"/>
      <c r="F6" s="716" t="s">
        <v>553</v>
      </c>
      <c r="G6" s="397" t="s">
        <v>554</v>
      </c>
      <c r="H6" s="721" t="s">
        <v>555</v>
      </c>
      <c r="I6" s="721" t="s">
        <v>556</v>
      </c>
      <c r="J6" s="723" t="s">
        <v>241</v>
      </c>
    </row>
    <row r="7" spans="2:10" ht="17.25" thickBot="1" x14ac:dyDescent="0.35">
      <c r="B7" s="717"/>
      <c r="C7" s="718"/>
      <c r="D7" s="398" t="s">
        <v>557</v>
      </c>
      <c r="E7" s="399" t="s">
        <v>558</v>
      </c>
      <c r="F7" s="718"/>
      <c r="G7" s="400" t="s">
        <v>559</v>
      </c>
      <c r="H7" s="722"/>
      <c r="I7" s="722"/>
      <c r="J7" s="724"/>
    </row>
    <row r="8" spans="2:10" ht="18" customHeight="1" thickTop="1" x14ac:dyDescent="0.3">
      <c r="B8" s="702" t="s">
        <v>560</v>
      </c>
      <c r="C8" s="401" t="s">
        <v>561</v>
      </c>
      <c r="D8" s="402" t="s">
        <v>562</v>
      </c>
      <c r="E8" s="401" t="s">
        <v>562</v>
      </c>
      <c r="F8" s="403" t="s">
        <v>563</v>
      </c>
      <c r="G8" s="401" t="s">
        <v>564</v>
      </c>
      <c r="H8" s="401" t="s">
        <v>565</v>
      </c>
      <c r="I8" s="401" t="s">
        <v>566</v>
      </c>
      <c r="J8" s="404" t="s">
        <v>567</v>
      </c>
    </row>
    <row r="9" spans="2:10" ht="18" customHeight="1" x14ac:dyDescent="0.3">
      <c r="B9" s="703"/>
      <c r="C9" s="405" t="s">
        <v>561</v>
      </c>
      <c r="D9" s="406"/>
      <c r="E9" s="405" t="s">
        <v>562</v>
      </c>
      <c r="F9" s="407" t="s">
        <v>568</v>
      </c>
      <c r="G9" s="405" t="s">
        <v>569</v>
      </c>
      <c r="H9" s="405" t="s">
        <v>570</v>
      </c>
      <c r="I9" s="405" t="s">
        <v>571</v>
      </c>
      <c r="J9" s="408"/>
    </row>
    <row r="10" spans="2:10" ht="18" customHeight="1" x14ac:dyDescent="0.3">
      <c r="B10" s="703"/>
      <c r="C10" s="409" t="s">
        <v>561</v>
      </c>
      <c r="D10" s="409"/>
      <c r="E10" s="409" t="s">
        <v>562</v>
      </c>
      <c r="F10" s="410" t="s">
        <v>572</v>
      </c>
      <c r="G10" s="409" t="s">
        <v>569</v>
      </c>
      <c r="H10" s="409" t="s">
        <v>570</v>
      </c>
      <c r="I10" s="409" t="s">
        <v>571</v>
      </c>
      <c r="J10" s="411" t="s">
        <v>573</v>
      </c>
    </row>
    <row r="11" spans="2:10" ht="18" customHeight="1" x14ac:dyDescent="0.3">
      <c r="B11" s="703"/>
      <c r="C11" s="409" t="s">
        <v>561</v>
      </c>
      <c r="D11" s="412"/>
      <c r="E11" s="412" t="s">
        <v>562</v>
      </c>
      <c r="F11" s="413" t="s">
        <v>574</v>
      </c>
      <c r="G11" s="414" t="s">
        <v>569</v>
      </c>
      <c r="H11" s="414" t="s">
        <v>571</v>
      </c>
      <c r="I11" s="414" t="s">
        <v>571</v>
      </c>
      <c r="J11" s="415" t="s">
        <v>575</v>
      </c>
    </row>
    <row r="12" spans="2:10" ht="18" customHeight="1" x14ac:dyDescent="0.3">
      <c r="B12" s="703"/>
      <c r="C12" s="416" t="s">
        <v>561</v>
      </c>
      <c r="D12" s="412"/>
      <c r="E12" s="414" t="s">
        <v>562</v>
      </c>
      <c r="F12" s="413" t="s">
        <v>576</v>
      </c>
      <c r="G12" s="412" t="s">
        <v>569</v>
      </c>
      <c r="H12" s="414" t="s">
        <v>571</v>
      </c>
      <c r="I12" s="414" t="s">
        <v>571</v>
      </c>
      <c r="J12" s="415"/>
    </row>
    <row r="13" spans="2:10" ht="21.95" customHeight="1" x14ac:dyDescent="0.3">
      <c r="B13" s="703"/>
      <c r="C13" s="416" t="s">
        <v>561</v>
      </c>
      <c r="D13" s="412"/>
      <c r="E13" s="412" t="s">
        <v>562</v>
      </c>
      <c r="F13" s="413" t="s">
        <v>577</v>
      </c>
      <c r="G13" s="414" t="s">
        <v>578</v>
      </c>
      <c r="H13" s="414" t="s">
        <v>571</v>
      </c>
      <c r="I13" s="414" t="s">
        <v>571</v>
      </c>
      <c r="J13" s="415" t="s">
        <v>579</v>
      </c>
    </row>
    <row r="14" spans="2:10" ht="24.95" customHeight="1" x14ac:dyDescent="0.3">
      <c r="B14" s="703"/>
      <c r="C14" s="409" t="s">
        <v>561</v>
      </c>
      <c r="D14" s="417"/>
      <c r="E14" s="414" t="s">
        <v>562</v>
      </c>
      <c r="F14" s="413" t="s">
        <v>580</v>
      </c>
      <c r="G14" s="414" t="s">
        <v>569</v>
      </c>
      <c r="H14" s="414" t="s">
        <v>571</v>
      </c>
      <c r="I14" s="414" t="s">
        <v>571</v>
      </c>
      <c r="J14" s="415"/>
    </row>
    <row r="15" spans="2:10" ht="24.95" customHeight="1" x14ac:dyDescent="0.3">
      <c r="B15" s="703"/>
      <c r="C15" s="409" t="s">
        <v>561</v>
      </c>
      <c r="D15" s="414"/>
      <c r="E15" s="414" t="s">
        <v>562</v>
      </c>
      <c r="F15" s="413" t="s">
        <v>581</v>
      </c>
      <c r="G15" s="414" t="s">
        <v>569</v>
      </c>
      <c r="H15" s="414" t="s">
        <v>571</v>
      </c>
      <c r="I15" s="414" t="s">
        <v>571</v>
      </c>
      <c r="J15" s="415"/>
    </row>
    <row r="16" spans="2:10" ht="18" customHeight="1" x14ac:dyDescent="0.3">
      <c r="B16" s="703"/>
      <c r="C16" s="409" t="s">
        <v>561</v>
      </c>
      <c r="D16" s="414"/>
      <c r="E16" s="414" t="s">
        <v>562</v>
      </c>
      <c r="F16" s="413" t="s">
        <v>582</v>
      </c>
      <c r="G16" s="414" t="s">
        <v>569</v>
      </c>
      <c r="H16" s="414" t="s">
        <v>571</v>
      </c>
      <c r="I16" s="414" t="s">
        <v>571</v>
      </c>
      <c r="J16" s="415"/>
    </row>
    <row r="17" spans="2:10" ht="18" customHeight="1" x14ac:dyDescent="0.3">
      <c r="B17" s="703"/>
      <c r="C17" s="418" t="s">
        <v>561</v>
      </c>
      <c r="D17" s="418" t="s">
        <v>562</v>
      </c>
      <c r="E17" s="418" t="s">
        <v>562</v>
      </c>
      <c r="F17" s="419" t="s">
        <v>583</v>
      </c>
      <c r="G17" s="418" t="s">
        <v>569</v>
      </c>
      <c r="H17" s="418" t="s">
        <v>571</v>
      </c>
      <c r="I17" s="418" t="s">
        <v>571</v>
      </c>
      <c r="J17" s="420" t="s">
        <v>584</v>
      </c>
    </row>
    <row r="18" spans="2:10" ht="18" customHeight="1" x14ac:dyDescent="0.3">
      <c r="B18" s="703"/>
      <c r="C18" s="418" t="s">
        <v>561</v>
      </c>
      <c r="D18" s="418"/>
      <c r="E18" s="418" t="s">
        <v>562</v>
      </c>
      <c r="F18" s="419" t="s">
        <v>585</v>
      </c>
      <c r="G18" s="418" t="s">
        <v>569</v>
      </c>
      <c r="H18" s="414" t="s">
        <v>571</v>
      </c>
      <c r="I18" s="414" t="s">
        <v>571</v>
      </c>
      <c r="J18" s="421"/>
    </row>
    <row r="19" spans="2:10" ht="18" customHeight="1" thickBot="1" x14ac:dyDescent="0.35">
      <c r="B19" s="704"/>
      <c r="C19" s="500" t="s">
        <v>586</v>
      </c>
      <c r="D19" s="423"/>
      <c r="E19" s="424"/>
      <c r="F19" s="501" t="s">
        <v>587</v>
      </c>
      <c r="G19" s="502" t="s">
        <v>724</v>
      </c>
      <c r="H19" s="425" t="s">
        <v>588</v>
      </c>
      <c r="I19" s="426" t="s">
        <v>571</v>
      </c>
      <c r="J19" s="427" t="s">
        <v>589</v>
      </c>
    </row>
    <row r="20" spans="2:10" ht="18" customHeight="1" x14ac:dyDescent="0.3">
      <c r="B20" s="705" t="s">
        <v>590</v>
      </c>
      <c r="C20" s="428" t="s">
        <v>591</v>
      </c>
      <c r="D20" s="428" t="s">
        <v>562</v>
      </c>
      <c r="E20" s="428"/>
      <c r="F20" s="429" t="s">
        <v>592</v>
      </c>
      <c r="G20" s="428" t="s">
        <v>569</v>
      </c>
      <c r="H20" s="428" t="s">
        <v>570</v>
      </c>
      <c r="I20" s="428" t="s">
        <v>593</v>
      </c>
      <c r="J20" s="430" t="s">
        <v>594</v>
      </c>
    </row>
    <row r="21" spans="2:10" ht="18" customHeight="1" x14ac:dyDescent="0.3">
      <c r="B21" s="703"/>
      <c r="C21" s="409" t="s">
        <v>591</v>
      </c>
      <c r="D21" s="409"/>
      <c r="E21" s="409" t="s">
        <v>562</v>
      </c>
      <c r="F21" s="410" t="s">
        <v>595</v>
      </c>
      <c r="G21" s="409" t="s">
        <v>569</v>
      </c>
      <c r="H21" s="409" t="s">
        <v>596</v>
      </c>
      <c r="I21" s="409" t="s">
        <v>593</v>
      </c>
      <c r="J21" s="411"/>
    </row>
    <row r="22" spans="2:10" ht="24.95" customHeight="1" x14ac:dyDescent="0.3">
      <c r="B22" s="703"/>
      <c r="C22" s="409" t="s">
        <v>597</v>
      </c>
      <c r="D22" s="409" t="s">
        <v>562</v>
      </c>
      <c r="E22" s="409"/>
      <c r="F22" s="410" t="s">
        <v>598</v>
      </c>
      <c r="G22" s="409" t="s">
        <v>569</v>
      </c>
      <c r="H22" s="409" t="s">
        <v>571</v>
      </c>
      <c r="I22" s="409" t="s">
        <v>571</v>
      </c>
      <c r="J22" s="411"/>
    </row>
    <row r="23" spans="2:10" ht="18" customHeight="1" x14ac:dyDescent="0.3">
      <c r="B23" s="703"/>
      <c r="C23" s="409" t="s">
        <v>599</v>
      </c>
      <c r="D23" s="409"/>
      <c r="E23" s="409" t="s">
        <v>562</v>
      </c>
      <c r="F23" s="410" t="s">
        <v>600</v>
      </c>
      <c r="G23" s="409" t="s">
        <v>569</v>
      </c>
      <c r="H23" s="409" t="s">
        <v>571</v>
      </c>
      <c r="I23" s="409" t="s">
        <v>571</v>
      </c>
      <c r="J23" s="411" t="s">
        <v>601</v>
      </c>
    </row>
    <row r="24" spans="2:10" ht="24.95" customHeight="1" x14ac:dyDescent="0.3">
      <c r="B24" s="703"/>
      <c r="C24" s="431" t="s">
        <v>602</v>
      </c>
      <c r="D24" s="409" t="s">
        <v>562</v>
      </c>
      <c r="E24" s="409"/>
      <c r="F24" s="413" t="s">
        <v>603</v>
      </c>
      <c r="G24" s="414" t="s">
        <v>569</v>
      </c>
      <c r="H24" s="414" t="s">
        <v>571</v>
      </c>
      <c r="I24" s="414" t="s">
        <v>571</v>
      </c>
      <c r="J24" s="415"/>
    </row>
    <row r="25" spans="2:10" ht="18" customHeight="1" x14ac:dyDescent="0.3">
      <c r="B25" s="703"/>
      <c r="C25" s="409" t="s">
        <v>604</v>
      </c>
      <c r="D25" s="432"/>
      <c r="E25" s="416" t="s">
        <v>562</v>
      </c>
      <c r="F25" s="413" t="s">
        <v>605</v>
      </c>
      <c r="G25" s="414" t="s">
        <v>569</v>
      </c>
      <c r="H25" s="433" t="s">
        <v>571</v>
      </c>
      <c r="I25" s="433" t="s">
        <v>571</v>
      </c>
      <c r="J25" s="434" t="s">
        <v>606</v>
      </c>
    </row>
    <row r="26" spans="2:10" ht="18" customHeight="1" x14ac:dyDescent="0.3">
      <c r="B26" s="703"/>
      <c r="C26" s="435" t="s">
        <v>607</v>
      </c>
      <c r="D26" s="431" t="s">
        <v>562</v>
      </c>
      <c r="E26" s="436"/>
      <c r="F26" s="419" t="s">
        <v>608</v>
      </c>
      <c r="G26" s="414" t="s">
        <v>609</v>
      </c>
      <c r="H26" s="414" t="s">
        <v>571</v>
      </c>
      <c r="I26" s="414" t="s">
        <v>571</v>
      </c>
      <c r="J26" s="415"/>
    </row>
    <row r="27" spans="2:10" ht="18" customHeight="1" x14ac:dyDescent="0.3">
      <c r="B27" s="703"/>
      <c r="C27" s="435" t="s">
        <v>610</v>
      </c>
      <c r="D27" s="431"/>
      <c r="E27" s="418" t="s">
        <v>562</v>
      </c>
      <c r="F27" s="419" t="s">
        <v>611</v>
      </c>
      <c r="G27" s="414" t="s">
        <v>569</v>
      </c>
      <c r="H27" s="414" t="s">
        <v>571</v>
      </c>
      <c r="I27" s="414" t="s">
        <v>571</v>
      </c>
      <c r="J27" s="437" t="s">
        <v>612</v>
      </c>
    </row>
    <row r="28" spans="2:10" ht="24.95" customHeight="1" x14ac:dyDescent="0.3">
      <c r="B28" s="703"/>
      <c r="C28" s="435" t="s">
        <v>599</v>
      </c>
      <c r="D28" s="416" t="s">
        <v>562</v>
      </c>
      <c r="E28" s="438"/>
      <c r="F28" s="413" t="s">
        <v>613</v>
      </c>
      <c r="G28" s="414" t="s">
        <v>569</v>
      </c>
      <c r="H28" s="414" t="s">
        <v>571</v>
      </c>
      <c r="I28" s="414" t="s">
        <v>571</v>
      </c>
      <c r="J28" s="439" t="s">
        <v>953</v>
      </c>
    </row>
    <row r="29" spans="2:10" ht="18" customHeight="1" x14ac:dyDescent="0.3">
      <c r="B29" s="703"/>
      <c r="C29" s="440" t="s">
        <v>614</v>
      </c>
      <c r="D29" s="416" t="s">
        <v>562</v>
      </c>
      <c r="E29" s="438"/>
      <c r="F29" s="413" t="s">
        <v>615</v>
      </c>
      <c r="G29" s="414" t="s">
        <v>569</v>
      </c>
      <c r="H29" s="414" t="s">
        <v>571</v>
      </c>
      <c r="I29" s="418" t="s">
        <v>616</v>
      </c>
      <c r="J29" s="415"/>
    </row>
    <row r="30" spans="2:10" ht="24.95" customHeight="1" x14ac:dyDescent="0.3">
      <c r="B30" s="703"/>
      <c r="C30" s="409" t="s">
        <v>591</v>
      </c>
      <c r="D30" s="416" t="s">
        <v>562</v>
      </c>
      <c r="E30" s="438"/>
      <c r="F30" s="413" t="s">
        <v>617</v>
      </c>
      <c r="G30" s="414" t="s">
        <v>569</v>
      </c>
      <c r="H30" s="414" t="s">
        <v>571</v>
      </c>
      <c r="I30" s="414" t="s">
        <v>593</v>
      </c>
      <c r="J30" s="415"/>
    </row>
    <row r="31" spans="2:10" ht="18" customHeight="1" thickBot="1" x14ac:dyDescent="0.35">
      <c r="B31" s="704"/>
      <c r="C31" s="441" t="s">
        <v>591</v>
      </c>
      <c r="D31" s="422" t="s">
        <v>562</v>
      </c>
      <c r="E31" s="442"/>
      <c r="F31" s="443" t="s">
        <v>618</v>
      </c>
      <c r="G31" s="444" t="s">
        <v>578</v>
      </c>
      <c r="H31" s="444" t="s">
        <v>571</v>
      </c>
      <c r="I31" s="444" t="s">
        <v>571</v>
      </c>
      <c r="J31" s="445" t="s">
        <v>619</v>
      </c>
    </row>
    <row r="32" spans="2:10" ht="18" customHeight="1" x14ac:dyDescent="0.3">
      <c r="B32" s="706" t="s">
        <v>620</v>
      </c>
      <c r="C32" s="446" t="s">
        <v>621</v>
      </c>
      <c r="D32" s="446"/>
      <c r="E32" s="446" t="s">
        <v>562</v>
      </c>
      <c r="F32" s="447" t="s">
        <v>622</v>
      </c>
      <c r="G32" s="405" t="s">
        <v>623</v>
      </c>
      <c r="H32" s="405" t="s">
        <v>570</v>
      </c>
      <c r="I32" s="405" t="s">
        <v>593</v>
      </c>
      <c r="J32" s="408"/>
    </row>
    <row r="33" spans="2:10" ht="18" customHeight="1" x14ac:dyDescent="0.3">
      <c r="B33" s="706"/>
      <c r="C33" s="446" t="s">
        <v>624</v>
      </c>
      <c r="D33" s="446" t="s">
        <v>562</v>
      </c>
      <c r="E33" s="446"/>
      <c r="F33" s="447" t="s">
        <v>625</v>
      </c>
      <c r="G33" s="405" t="s">
        <v>569</v>
      </c>
      <c r="H33" s="405" t="s">
        <v>570</v>
      </c>
      <c r="I33" s="405" t="s">
        <v>593</v>
      </c>
      <c r="J33" s="411"/>
    </row>
    <row r="34" spans="2:10" ht="18" customHeight="1" x14ac:dyDescent="0.3">
      <c r="B34" s="706"/>
      <c r="C34" s="431" t="s">
        <v>626</v>
      </c>
      <c r="D34" s="431" t="s">
        <v>562</v>
      </c>
      <c r="E34" s="418"/>
      <c r="F34" s="419" t="s">
        <v>627</v>
      </c>
      <c r="G34" s="409" t="s">
        <v>578</v>
      </c>
      <c r="H34" s="409" t="s">
        <v>570</v>
      </c>
      <c r="I34" s="409" t="s">
        <v>593</v>
      </c>
      <c r="J34" s="448"/>
    </row>
    <row r="35" spans="2:10" ht="24.95" customHeight="1" x14ac:dyDescent="0.3">
      <c r="B35" s="706"/>
      <c r="C35" s="431" t="s">
        <v>628</v>
      </c>
      <c r="D35" s="431" t="s">
        <v>562</v>
      </c>
      <c r="E35" s="449"/>
      <c r="F35" s="450" t="s">
        <v>629</v>
      </c>
      <c r="G35" s="409" t="s">
        <v>578</v>
      </c>
      <c r="H35" s="409" t="s">
        <v>570</v>
      </c>
      <c r="I35" s="409" t="s">
        <v>593</v>
      </c>
      <c r="J35" s="448"/>
    </row>
    <row r="36" spans="2:10" ht="24.95" customHeight="1" x14ac:dyDescent="0.3">
      <c r="B36" s="706"/>
      <c r="C36" s="431" t="s">
        <v>630</v>
      </c>
      <c r="D36" s="431" t="s">
        <v>562</v>
      </c>
      <c r="E36" s="431"/>
      <c r="F36" s="419" t="s">
        <v>631</v>
      </c>
      <c r="G36" s="414" t="s">
        <v>578</v>
      </c>
      <c r="H36" s="433" t="s">
        <v>570</v>
      </c>
      <c r="I36" s="414" t="s">
        <v>593</v>
      </c>
      <c r="J36" s="448"/>
    </row>
    <row r="37" spans="2:10" ht="23.25" customHeight="1" x14ac:dyDescent="0.3">
      <c r="B37" s="706"/>
      <c r="C37" s="431" t="s">
        <v>632</v>
      </c>
      <c r="D37" s="431"/>
      <c r="E37" s="431" t="s">
        <v>562</v>
      </c>
      <c r="F37" s="419" t="s">
        <v>633</v>
      </c>
      <c r="G37" s="414" t="s">
        <v>609</v>
      </c>
      <c r="H37" s="433" t="s">
        <v>571</v>
      </c>
      <c r="I37" s="414" t="s">
        <v>571</v>
      </c>
      <c r="J37" s="434"/>
    </row>
    <row r="38" spans="2:10" ht="24.95" customHeight="1" x14ac:dyDescent="0.3">
      <c r="B38" s="706"/>
      <c r="C38" s="451" t="s">
        <v>634</v>
      </c>
      <c r="D38" s="452" t="s">
        <v>562</v>
      </c>
      <c r="E38" s="452"/>
      <c r="F38" s="453" t="s">
        <v>635</v>
      </c>
      <c r="G38" s="454" t="s">
        <v>609</v>
      </c>
      <c r="H38" s="455" t="s">
        <v>571</v>
      </c>
      <c r="I38" s="456" t="s">
        <v>571</v>
      </c>
      <c r="J38" s="457" t="s">
        <v>636</v>
      </c>
    </row>
    <row r="39" spans="2:10" ht="23.25" customHeight="1" x14ac:dyDescent="0.3">
      <c r="B39" s="706"/>
      <c r="C39" s="431" t="s">
        <v>637</v>
      </c>
      <c r="D39" s="431" t="s">
        <v>562</v>
      </c>
      <c r="E39" s="431"/>
      <c r="F39" s="419" t="s">
        <v>638</v>
      </c>
      <c r="G39" s="414" t="s">
        <v>569</v>
      </c>
      <c r="H39" s="433" t="s">
        <v>571</v>
      </c>
      <c r="I39" s="433" t="s">
        <v>571</v>
      </c>
      <c r="J39" s="434"/>
    </row>
    <row r="40" spans="2:10" ht="18" customHeight="1" x14ac:dyDescent="0.3">
      <c r="B40" s="706"/>
      <c r="C40" s="431" t="s">
        <v>630</v>
      </c>
      <c r="D40" s="431"/>
      <c r="E40" s="431" t="s">
        <v>562</v>
      </c>
      <c r="F40" s="419" t="s">
        <v>639</v>
      </c>
      <c r="G40" s="414" t="s">
        <v>569</v>
      </c>
      <c r="H40" s="433" t="s">
        <v>571</v>
      </c>
      <c r="I40" s="433" t="s">
        <v>571</v>
      </c>
      <c r="J40" s="434" t="s">
        <v>640</v>
      </c>
    </row>
    <row r="41" spans="2:10" ht="18" customHeight="1" x14ac:dyDescent="0.3">
      <c r="B41" s="706"/>
      <c r="C41" s="416" t="s">
        <v>641</v>
      </c>
      <c r="D41" s="416" t="s">
        <v>562</v>
      </c>
      <c r="E41" s="458"/>
      <c r="F41" s="419" t="s">
        <v>642</v>
      </c>
      <c r="G41" s="418" t="s">
        <v>569</v>
      </c>
      <c r="H41" s="418" t="s">
        <v>571</v>
      </c>
      <c r="I41" s="418" t="s">
        <v>571</v>
      </c>
      <c r="J41" s="459" t="s">
        <v>643</v>
      </c>
    </row>
    <row r="42" spans="2:10" ht="21.75" customHeight="1" x14ac:dyDescent="0.3">
      <c r="B42" s="460" t="s">
        <v>644</v>
      </c>
      <c r="C42" s="416" t="s">
        <v>645</v>
      </c>
      <c r="D42" s="409" t="s">
        <v>562</v>
      </c>
      <c r="E42" s="409"/>
      <c r="F42" s="413" t="s">
        <v>646</v>
      </c>
      <c r="G42" s="414" t="s">
        <v>569</v>
      </c>
      <c r="H42" s="414" t="s">
        <v>570</v>
      </c>
      <c r="I42" s="414" t="s">
        <v>571</v>
      </c>
      <c r="J42" s="415" t="s">
        <v>647</v>
      </c>
    </row>
    <row r="43" spans="2:10" ht="18" customHeight="1" x14ac:dyDescent="0.3">
      <c r="B43" s="706" t="s">
        <v>648</v>
      </c>
      <c r="C43" s="409" t="s">
        <v>649</v>
      </c>
      <c r="D43" s="416"/>
      <c r="E43" s="409" t="s">
        <v>562</v>
      </c>
      <c r="F43" s="410" t="s">
        <v>650</v>
      </c>
      <c r="G43" s="409" t="s">
        <v>578</v>
      </c>
      <c r="H43" s="409" t="s">
        <v>570</v>
      </c>
      <c r="I43" s="409" t="s">
        <v>571</v>
      </c>
      <c r="J43" s="411"/>
    </row>
    <row r="44" spans="2:10" ht="18" customHeight="1" x14ac:dyDescent="0.3">
      <c r="B44" s="706"/>
      <c r="C44" s="409" t="s">
        <v>649</v>
      </c>
      <c r="D44" s="416"/>
      <c r="E44" s="409" t="s">
        <v>562</v>
      </c>
      <c r="F44" s="410" t="s">
        <v>651</v>
      </c>
      <c r="G44" s="409" t="s">
        <v>578</v>
      </c>
      <c r="H44" s="409" t="s">
        <v>570</v>
      </c>
      <c r="I44" s="409" t="s">
        <v>571</v>
      </c>
      <c r="J44" s="411" t="s">
        <v>652</v>
      </c>
    </row>
    <row r="45" spans="2:10" ht="18" customHeight="1" x14ac:dyDescent="0.3">
      <c r="B45" s="706"/>
      <c r="C45" s="416" t="s">
        <v>653</v>
      </c>
      <c r="D45" s="416" t="s">
        <v>562</v>
      </c>
      <c r="E45" s="409"/>
      <c r="F45" s="410" t="s">
        <v>654</v>
      </c>
      <c r="G45" s="416" t="s">
        <v>655</v>
      </c>
      <c r="H45" s="409" t="s">
        <v>571</v>
      </c>
      <c r="I45" s="409" t="s">
        <v>571</v>
      </c>
      <c r="J45" s="411" t="s">
        <v>656</v>
      </c>
    </row>
    <row r="46" spans="2:10" ht="18" customHeight="1" thickBot="1" x14ac:dyDescent="0.35">
      <c r="B46" s="707"/>
      <c r="C46" s="422" t="s">
        <v>657</v>
      </c>
      <c r="D46" s="441" t="s">
        <v>562</v>
      </c>
      <c r="E46" s="441"/>
      <c r="F46" s="461" t="s">
        <v>658</v>
      </c>
      <c r="G46" s="441" t="s">
        <v>655</v>
      </c>
      <c r="H46" s="441" t="s">
        <v>571</v>
      </c>
      <c r="I46" s="441" t="s">
        <v>571</v>
      </c>
      <c r="J46" s="462"/>
    </row>
    <row r="47" spans="2:10" x14ac:dyDescent="0.3">
      <c r="B47" s="463" t="s">
        <v>659</v>
      </c>
    </row>
    <row r="48" spans="2:10" ht="24.95" customHeight="1" x14ac:dyDescent="0.3"/>
    <row r="49" spans="2:10" ht="24.95" customHeight="1" thickBot="1" x14ac:dyDescent="0.35">
      <c r="B49" s="396" t="s">
        <v>660</v>
      </c>
      <c r="J49" s="464" t="s">
        <v>661</v>
      </c>
    </row>
    <row r="50" spans="2:10" ht="20.100000000000001" customHeight="1" x14ac:dyDescent="0.3">
      <c r="B50" s="708" t="s">
        <v>551</v>
      </c>
      <c r="C50" s="709"/>
      <c r="D50" s="712" t="s">
        <v>552</v>
      </c>
      <c r="E50" s="713"/>
      <c r="F50" s="695" t="s">
        <v>662</v>
      </c>
      <c r="G50" s="697" t="s">
        <v>554</v>
      </c>
      <c r="H50" s="465" t="s">
        <v>663</v>
      </c>
      <c r="I50" s="465" t="s">
        <v>664</v>
      </c>
      <c r="J50" s="699" t="s">
        <v>241</v>
      </c>
    </row>
    <row r="51" spans="2:10" ht="20.100000000000001" customHeight="1" thickBot="1" x14ac:dyDescent="0.35">
      <c r="B51" s="710"/>
      <c r="C51" s="711"/>
      <c r="D51" s="466" t="s">
        <v>557</v>
      </c>
      <c r="E51" s="466" t="s">
        <v>665</v>
      </c>
      <c r="F51" s="696"/>
      <c r="G51" s="698"/>
      <c r="H51" s="467" t="s">
        <v>666</v>
      </c>
      <c r="I51" s="467" t="s">
        <v>667</v>
      </c>
      <c r="J51" s="700"/>
    </row>
    <row r="52" spans="2:10" ht="24.95" customHeight="1" thickTop="1" x14ac:dyDescent="0.3">
      <c r="B52" s="701" t="s">
        <v>560</v>
      </c>
      <c r="C52" s="468" t="s">
        <v>668</v>
      </c>
      <c r="D52" s="406"/>
      <c r="E52" s="406" t="s">
        <v>669</v>
      </c>
      <c r="F52" s="469" t="s">
        <v>670</v>
      </c>
      <c r="G52" s="405" t="s">
        <v>671</v>
      </c>
      <c r="H52" s="405" t="s">
        <v>672</v>
      </c>
      <c r="I52" s="405" t="s">
        <v>673</v>
      </c>
      <c r="J52" s="470"/>
    </row>
    <row r="53" spans="2:10" ht="24.95" customHeight="1" x14ac:dyDescent="0.3">
      <c r="B53" s="685"/>
      <c r="C53" s="471" t="s">
        <v>668</v>
      </c>
      <c r="D53" s="416" t="s">
        <v>562</v>
      </c>
      <c r="E53" s="406"/>
      <c r="F53" s="469" t="s">
        <v>674</v>
      </c>
      <c r="G53" s="405" t="s">
        <v>675</v>
      </c>
      <c r="H53" s="405" t="s">
        <v>676</v>
      </c>
      <c r="I53" s="409" t="s">
        <v>571</v>
      </c>
      <c r="J53" s="470"/>
    </row>
    <row r="54" spans="2:10" ht="30" customHeight="1" x14ac:dyDescent="0.3">
      <c r="B54" s="685"/>
      <c r="C54" s="471" t="s">
        <v>668</v>
      </c>
      <c r="D54" s="416" t="s">
        <v>562</v>
      </c>
      <c r="E54" s="416" t="s">
        <v>562</v>
      </c>
      <c r="F54" s="472" t="s">
        <v>677</v>
      </c>
      <c r="G54" s="409" t="s">
        <v>678</v>
      </c>
      <c r="H54" s="409" t="s">
        <v>570</v>
      </c>
      <c r="I54" s="409" t="s">
        <v>571</v>
      </c>
      <c r="J54" s="473"/>
    </row>
    <row r="55" spans="2:10" ht="24.95" customHeight="1" x14ac:dyDescent="0.3">
      <c r="B55" s="685"/>
      <c r="C55" s="474" t="s">
        <v>668</v>
      </c>
      <c r="D55" s="475"/>
      <c r="E55" s="475" t="s">
        <v>562</v>
      </c>
      <c r="F55" s="476" t="s">
        <v>679</v>
      </c>
      <c r="G55" s="477" t="s">
        <v>678</v>
      </c>
      <c r="H55" s="477" t="s">
        <v>570</v>
      </c>
      <c r="I55" s="477" t="s">
        <v>571</v>
      </c>
      <c r="J55" s="478"/>
    </row>
    <row r="56" spans="2:10" ht="24.95" customHeight="1" thickBot="1" x14ac:dyDescent="0.35">
      <c r="B56" s="686"/>
      <c r="C56" s="479" t="s">
        <v>680</v>
      </c>
      <c r="D56" s="689" t="s">
        <v>562</v>
      </c>
      <c r="E56" s="690"/>
      <c r="F56" s="480" t="s">
        <v>681</v>
      </c>
      <c r="G56" s="441" t="s">
        <v>678</v>
      </c>
      <c r="H56" s="441" t="s">
        <v>682</v>
      </c>
      <c r="I56" s="441" t="s">
        <v>571</v>
      </c>
      <c r="J56" s="481"/>
    </row>
    <row r="57" spans="2:10" ht="30" customHeight="1" x14ac:dyDescent="0.3">
      <c r="B57" s="684" t="s">
        <v>590</v>
      </c>
      <c r="C57" s="482" t="s">
        <v>683</v>
      </c>
      <c r="D57" s="483" t="s">
        <v>562</v>
      </c>
      <c r="E57" s="483"/>
      <c r="F57" s="484" t="s">
        <v>684</v>
      </c>
      <c r="G57" s="428" t="s">
        <v>678</v>
      </c>
      <c r="H57" s="428" t="s">
        <v>570</v>
      </c>
      <c r="I57" s="428" t="s">
        <v>685</v>
      </c>
      <c r="J57" s="485" t="s">
        <v>686</v>
      </c>
    </row>
    <row r="58" spans="2:10" ht="24.95" customHeight="1" x14ac:dyDescent="0.3">
      <c r="B58" s="685"/>
      <c r="C58" s="471" t="s">
        <v>687</v>
      </c>
      <c r="D58" s="486"/>
      <c r="E58" s="416" t="s">
        <v>562</v>
      </c>
      <c r="F58" s="472" t="s">
        <v>688</v>
      </c>
      <c r="G58" s="409" t="s">
        <v>678</v>
      </c>
      <c r="H58" s="409" t="s">
        <v>570</v>
      </c>
      <c r="I58" s="409" t="s">
        <v>689</v>
      </c>
      <c r="J58" s="473" t="s">
        <v>690</v>
      </c>
    </row>
    <row r="59" spans="2:10" ht="30" customHeight="1" thickBot="1" x14ac:dyDescent="0.35">
      <c r="B59" s="685"/>
      <c r="C59" s="471" t="s">
        <v>691</v>
      </c>
      <c r="D59" s="687" t="s">
        <v>562</v>
      </c>
      <c r="E59" s="688"/>
      <c r="F59" s="472" t="s">
        <v>692</v>
      </c>
      <c r="G59" s="409" t="s">
        <v>678</v>
      </c>
      <c r="H59" s="409" t="s">
        <v>693</v>
      </c>
      <c r="I59" s="409" t="s">
        <v>694</v>
      </c>
      <c r="J59" s="473" t="s">
        <v>695</v>
      </c>
    </row>
    <row r="60" spans="2:10" ht="30" customHeight="1" x14ac:dyDescent="0.3">
      <c r="B60" s="684" t="s">
        <v>620</v>
      </c>
      <c r="C60" s="487" t="s">
        <v>696</v>
      </c>
      <c r="D60" s="483" t="s">
        <v>562</v>
      </c>
      <c r="E60" s="488"/>
      <c r="F60" s="484" t="s">
        <v>697</v>
      </c>
      <c r="G60" s="428" t="s">
        <v>678</v>
      </c>
      <c r="H60" s="428" t="s">
        <v>570</v>
      </c>
      <c r="I60" s="428" t="s">
        <v>689</v>
      </c>
      <c r="J60" s="485"/>
    </row>
    <row r="61" spans="2:10" ht="30" customHeight="1" x14ac:dyDescent="0.3">
      <c r="B61" s="685"/>
      <c r="C61" s="489" t="s">
        <v>698</v>
      </c>
      <c r="D61" s="416" t="s">
        <v>699</v>
      </c>
      <c r="E61" s="490" t="s">
        <v>700</v>
      </c>
      <c r="F61" s="472" t="s">
        <v>701</v>
      </c>
      <c r="G61" s="409" t="s">
        <v>678</v>
      </c>
      <c r="H61" s="409" t="s">
        <v>570</v>
      </c>
      <c r="I61" s="409" t="s">
        <v>689</v>
      </c>
      <c r="J61" s="473" t="s">
        <v>702</v>
      </c>
    </row>
    <row r="62" spans="2:10" ht="30" customHeight="1" x14ac:dyDescent="0.3">
      <c r="B62" s="685"/>
      <c r="C62" s="489" t="s">
        <v>703</v>
      </c>
      <c r="D62" s="416" t="s">
        <v>699</v>
      </c>
      <c r="E62" s="490" t="s">
        <v>700</v>
      </c>
      <c r="F62" s="472" t="s">
        <v>704</v>
      </c>
      <c r="G62" s="409" t="s">
        <v>678</v>
      </c>
      <c r="H62" s="409" t="s">
        <v>570</v>
      </c>
      <c r="I62" s="409" t="s">
        <v>689</v>
      </c>
      <c r="J62" s="473" t="s">
        <v>705</v>
      </c>
    </row>
    <row r="63" spans="2:10" ht="24.95" customHeight="1" x14ac:dyDescent="0.3">
      <c r="B63" s="685"/>
      <c r="C63" s="471" t="s">
        <v>706</v>
      </c>
      <c r="D63" s="687" t="s">
        <v>562</v>
      </c>
      <c r="E63" s="688"/>
      <c r="F63" s="472" t="s">
        <v>707</v>
      </c>
      <c r="G63" s="409" t="s">
        <v>678</v>
      </c>
      <c r="H63" s="409" t="s">
        <v>570</v>
      </c>
      <c r="I63" s="409" t="s">
        <v>689</v>
      </c>
      <c r="J63" s="491" t="s">
        <v>708</v>
      </c>
    </row>
    <row r="64" spans="2:10" ht="24.95" customHeight="1" x14ac:dyDescent="0.3">
      <c r="B64" s="685"/>
      <c r="C64" s="471" t="s">
        <v>709</v>
      </c>
      <c r="D64" s="687" t="s">
        <v>562</v>
      </c>
      <c r="E64" s="688"/>
      <c r="F64" s="472" t="s">
        <v>710</v>
      </c>
      <c r="G64" s="409" t="s">
        <v>678</v>
      </c>
      <c r="H64" s="409" t="s">
        <v>571</v>
      </c>
      <c r="I64" s="409" t="s">
        <v>571</v>
      </c>
      <c r="J64" s="492" t="s">
        <v>711</v>
      </c>
    </row>
    <row r="65" spans="2:10" ht="24.95" customHeight="1" thickBot="1" x14ac:dyDescent="0.35">
      <c r="B65" s="686"/>
      <c r="C65" s="479" t="s">
        <v>712</v>
      </c>
      <c r="D65" s="689" t="s">
        <v>562</v>
      </c>
      <c r="E65" s="690"/>
      <c r="F65" s="480" t="s">
        <v>713</v>
      </c>
      <c r="G65" s="441" t="s">
        <v>678</v>
      </c>
      <c r="H65" s="441" t="s">
        <v>570</v>
      </c>
      <c r="I65" s="441" t="s">
        <v>689</v>
      </c>
      <c r="J65" s="481"/>
    </row>
    <row r="66" spans="2:10" ht="30" customHeight="1" x14ac:dyDescent="0.3">
      <c r="B66" s="691" t="s">
        <v>648</v>
      </c>
      <c r="C66" s="493" t="s">
        <v>714</v>
      </c>
      <c r="D66" s="693" t="s">
        <v>562</v>
      </c>
      <c r="E66" s="694"/>
      <c r="F66" s="494" t="s">
        <v>715</v>
      </c>
      <c r="G66" s="495" t="s">
        <v>678</v>
      </c>
      <c r="H66" s="495" t="s">
        <v>570</v>
      </c>
      <c r="I66" s="495" t="s">
        <v>689</v>
      </c>
      <c r="J66" s="496" t="s">
        <v>716</v>
      </c>
    </row>
    <row r="67" spans="2:10" ht="30" customHeight="1" thickBot="1" x14ac:dyDescent="0.35">
      <c r="B67" s="692"/>
      <c r="C67" s="497" t="s">
        <v>717</v>
      </c>
      <c r="D67" s="689" t="s">
        <v>562</v>
      </c>
      <c r="E67" s="690"/>
      <c r="F67" s="480" t="s">
        <v>718</v>
      </c>
      <c r="G67" s="441" t="s">
        <v>678</v>
      </c>
      <c r="H67" s="441" t="s">
        <v>570</v>
      </c>
      <c r="I67" s="441" t="s">
        <v>719</v>
      </c>
      <c r="J67" s="498"/>
    </row>
    <row r="68" spans="2:10" ht="24.95" customHeight="1" x14ac:dyDescent="0.3">
      <c r="B68" s="463" t="s">
        <v>659</v>
      </c>
    </row>
  </sheetData>
  <mergeCells count="27">
    <mergeCell ref="B2:J2"/>
    <mergeCell ref="B6:C7"/>
    <mergeCell ref="D6:E6"/>
    <mergeCell ref="F6:F7"/>
    <mergeCell ref="H6:H7"/>
    <mergeCell ref="I6:I7"/>
    <mergeCell ref="J6:J7"/>
    <mergeCell ref="B57:B59"/>
    <mergeCell ref="D59:E59"/>
    <mergeCell ref="B8:B19"/>
    <mergeCell ref="B20:B31"/>
    <mergeCell ref="B32:B41"/>
    <mergeCell ref="B43:B46"/>
    <mergeCell ref="B50:C51"/>
    <mergeCell ref="D50:E50"/>
    <mergeCell ref="F50:F51"/>
    <mergeCell ref="G50:G51"/>
    <mergeCell ref="J50:J51"/>
    <mergeCell ref="B52:B56"/>
    <mergeCell ref="D56:E56"/>
    <mergeCell ref="B60:B65"/>
    <mergeCell ref="D63:E63"/>
    <mergeCell ref="D64:E64"/>
    <mergeCell ref="D65:E65"/>
    <mergeCell ref="B66:B67"/>
    <mergeCell ref="D66:E66"/>
    <mergeCell ref="D67:E6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Q103"/>
  <sheetViews>
    <sheetView showGridLines="0" view="pageBreakPreview" zoomScale="85" zoomScaleNormal="100" zoomScaleSheetLayoutView="85" workbookViewId="0">
      <selection activeCell="D57" sqref="D57:I57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v>46266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15"/>
      <c r="C4" s="15"/>
      <c r="D4" s="15"/>
      <c r="E4" s="15"/>
      <c r="F4" s="15"/>
      <c r="G4" s="15"/>
      <c r="H4" s="15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954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 t="s">
        <v>955</v>
      </c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4" t="s">
        <v>956</v>
      </c>
      <c r="C8" s="735"/>
      <c r="D8" s="735"/>
      <c r="E8" s="735"/>
      <c r="F8" s="735"/>
      <c r="G8" s="735"/>
      <c r="H8" s="735"/>
      <c r="I8" s="735"/>
      <c r="J8" s="736"/>
    </row>
    <row r="9" spans="2:10" ht="20.100000000000001" customHeight="1" x14ac:dyDescent="0.3">
      <c r="B9" s="731" t="s">
        <v>957</v>
      </c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 t="s">
        <v>958</v>
      </c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 t="s">
        <v>959</v>
      </c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4" t="s">
        <v>960</v>
      </c>
      <c r="C12" s="735"/>
      <c r="D12" s="735"/>
      <c r="E12" s="735"/>
      <c r="F12" s="735"/>
      <c r="G12" s="735"/>
      <c r="H12" s="735"/>
      <c r="I12" s="735"/>
      <c r="J12" s="736"/>
    </row>
    <row r="13" spans="2:10" ht="20.100000000000001" customHeight="1" x14ac:dyDescent="0.3">
      <c r="B13" s="731"/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31" t="s">
        <v>961</v>
      </c>
      <c r="C14" s="732"/>
      <c r="D14" s="732"/>
      <c r="E14" s="732"/>
      <c r="F14" s="732"/>
      <c r="G14" s="732"/>
      <c r="H14" s="732"/>
      <c r="I14" s="732"/>
      <c r="J14" s="733"/>
    </row>
    <row r="15" spans="2:10" ht="20.100000000000001" customHeight="1" x14ac:dyDescent="0.3">
      <c r="B15" s="776" t="s">
        <v>962</v>
      </c>
      <c r="C15" s="735"/>
      <c r="D15" s="735"/>
      <c r="E15" s="735"/>
      <c r="F15" s="735"/>
      <c r="G15" s="735"/>
      <c r="H15" s="735"/>
      <c r="I15" s="735"/>
      <c r="J15" s="736"/>
    </row>
    <row r="16" spans="2:10" ht="20.100000000000001" customHeight="1" x14ac:dyDescent="0.3">
      <c r="B16" s="776" t="s">
        <v>963</v>
      </c>
      <c r="C16" s="735"/>
      <c r="D16" s="735"/>
      <c r="E16" s="735"/>
      <c r="F16" s="735"/>
      <c r="G16" s="735"/>
      <c r="H16" s="735"/>
      <c r="I16" s="735"/>
      <c r="J16" s="736"/>
    </row>
    <row r="17" spans="2:13" ht="20.100000000000001" customHeight="1" x14ac:dyDescent="0.3">
      <c r="B17" s="731" t="s">
        <v>964</v>
      </c>
      <c r="C17" s="732"/>
      <c r="D17" s="732"/>
      <c r="E17" s="732"/>
      <c r="F17" s="732"/>
      <c r="G17" s="732"/>
      <c r="H17" s="732"/>
      <c r="I17" s="732"/>
      <c r="J17" s="733"/>
    </row>
    <row r="18" spans="2:13" ht="20.100000000000001" customHeight="1" x14ac:dyDescent="0.3">
      <c r="B18" s="731"/>
      <c r="C18" s="732"/>
      <c r="D18" s="732"/>
      <c r="E18" s="732"/>
      <c r="F18" s="732"/>
      <c r="G18" s="732"/>
      <c r="H18" s="732"/>
      <c r="I18" s="732"/>
      <c r="J18" s="733"/>
    </row>
    <row r="19" spans="2:13" ht="7.5" customHeight="1" thickBot="1" x14ac:dyDescent="0.35">
      <c r="B19" s="737"/>
      <c r="C19" s="738"/>
      <c r="D19" s="738"/>
      <c r="E19" s="738"/>
      <c r="F19" s="738"/>
      <c r="G19" s="738"/>
      <c r="H19" s="738"/>
      <c r="I19" s="738"/>
      <c r="J19" s="739"/>
    </row>
    <row r="20" spans="2:13" ht="21.75" customHeight="1" x14ac:dyDescent="0.3">
      <c r="B20" s="16"/>
      <c r="C20" s="16"/>
      <c r="D20" s="16"/>
      <c r="E20" s="16"/>
      <c r="F20" s="16"/>
      <c r="G20" s="16"/>
      <c r="H20" s="16"/>
      <c r="I20" s="16"/>
      <c r="J20" s="16"/>
    </row>
    <row r="21" spans="2:13" ht="23.1" customHeight="1" thickBot="1" x14ac:dyDescent="0.35">
      <c r="B21" s="1" t="s">
        <v>1</v>
      </c>
      <c r="I21" s="2"/>
      <c r="J21" s="24" t="s">
        <v>9</v>
      </c>
    </row>
    <row r="22" spans="2:13" ht="24.95" customHeight="1" thickBot="1" x14ac:dyDescent="0.35">
      <c r="B22" s="740" t="s">
        <v>10</v>
      </c>
      <c r="C22" s="741"/>
      <c r="D22" s="741"/>
      <c r="E22" s="741"/>
      <c r="F22" s="741"/>
      <c r="G22" s="741"/>
      <c r="H22" s="741"/>
      <c r="I22" s="741"/>
      <c r="J22" s="742"/>
      <c r="K22" s="8"/>
    </row>
    <row r="23" spans="2:13" ht="20.100000000000001" customHeight="1" x14ac:dyDescent="0.3">
      <c r="B23" s="3" t="s">
        <v>0</v>
      </c>
      <c r="C23" s="31" t="s">
        <v>11</v>
      </c>
      <c r="D23" s="26" t="s">
        <v>5</v>
      </c>
      <c r="E23" s="27"/>
      <c r="F23" s="27"/>
      <c r="G23" s="27"/>
      <c r="H23" s="27"/>
      <c r="I23" s="28"/>
      <c r="J23" s="32" t="s">
        <v>4</v>
      </c>
      <c r="K23" s="8"/>
    </row>
    <row r="24" spans="2:13" ht="20.100000000000001" customHeight="1" x14ac:dyDescent="0.3">
      <c r="B24" s="743" t="s">
        <v>2</v>
      </c>
      <c r="C24" s="29"/>
      <c r="D24" s="752"/>
      <c r="E24" s="753"/>
      <c r="F24" s="753"/>
      <c r="G24" s="753"/>
      <c r="H24" s="753"/>
      <c r="I24" s="754"/>
      <c r="J24" s="33"/>
      <c r="K24" s="8"/>
    </row>
    <row r="25" spans="2:13" ht="20.100000000000001" customHeight="1" x14ac:dyDescent="0.3">
      <c r="B25" s="743"/>
      <c r="C25" s="22" t="s">
        <v>65</v>
      </c>
      <c r="D25" s="750"/>
      <c r="E25" s="726"/>
      <c r="F25" s="726"/>
      <c r="G25" s="726"/>
      <c r="H25" s="726"/>
      <c r="I25" s="727"/>
      <c r="J25" s="34"/>
      <c r="K25" s="8"/>
    </row>
    <row r="26" spans="2:13" ht="20.100000000000001" customHeight="1" x14ac:dyDescent="0.3">
      <c r="B26" s="743"/>
      <c r="C26" s="21" t="s">
        <v>243</v>
      </c>
      <c r="D26" s="725"/>
      <c r="E26" s="726"/>
      <c r="F26" s="726"/>
      <c r="G26" s="726"/>
      <c r="H26" s="726"/>
      <c r="I26" s="727"/>
      <c r="J26" s="35"/>
      <c r="K26" s="8"/>
    </row>
    <row r="27" spans="2:13" ht="20.100000000000001" customHeight="1" x14ac:dyDescent="0.3">
      <c r="B27" s="743"/>
      <c r="C27" s="67"/>
      <c r="D27" s="751"/>
      <c r="E27" s="748"/>
      <c r="F27" s="748"/>
      <c r="G27" s="748"/>
      <c r="H27" s="748"/>
      <c r="I27" s="749"/>
      <c r="J27" s="36"/>
      <c r="K27" s="8"/>
    </row>
    <row r="28" spans="2:13" ht="20.100000000000001" customHeight="1" x14ac:dyDescent="0.3">
      <c r="B28" s="743"/>
      <c r="C28" s="29"/>
      <c r="D28" s="752"/>
      <c r="E28" s="753"/>
      <c r="F28" s="753"/>
      <c r="G28" s="753"/>
      <c r="H28" s="753"/>
      <c r="I28" s="754"/>
      <c r="J28" s="33"/>
      <c r="K28" s="8"/>
    </row>
    <row r="29" spans="2:13" ht="20.100000000000001" customHeight="1" x14ac:dyDescent="0.3">
      <c r="B29" s="743"/>
      <c r="C29" s="22" t="s">
        <v>47</v>
      </c>
      <c r="D29" s="750"/>
      <c r="E29" s="726"/>
      <c r="F29" s="726"/>
      <c r="G29" s="726"/>
      <c r="H29" s="726"/>
      <c r="I29" s="727"/>
      <c r="J29" s="34"/>
      <c r="K29" s="8"/>
    </row>
    <row r="30" spans="2:13" ht="20.100000000000001" customHeight="1" x14ac:dyDescent="0.3">
      <c r="B30" s="743"/>
      <c r="C30" s="21" t="s">
        <v>375</v>
      </c>
      <c r="D30" s="725"/>
      <c r="E30" s="726"/>
      <c r="F30" s="726"/>
      <c r="G30" s="726"/>
      <c r="H30" s="726"/>
      <c r="I30" s="727"/>
      <c r="J30" s="35"/>
      <c r="K30" s="8"/>
    </row>
    <row r="31" spans="2:13" ht="20.100000000000001" customHeight="1" x14ac:dyDescent="0.3">
      <c r="B31" s="743"/>
      <c r="C31" s="21"/>
      <c r="D31" s="751"/>
      <c r="E31" s="748"/>
      <c r="F31" s="748"/>
      <c r="G31" s="748"/>
      <c r="H31" s="748"/>
      <c r="I31" s="749"/>
      <c r="J31" s="35"/>
      <c r="K31" s="8"/>
      <c r="L31" s="9"/>
    </row>
    <row r="32" spans="2:13" ht="20.100000000000001" customHeight="1" x14ac:dyDescent="0.3">
      <c r="B32" s="743"/>
      <c r="C32" s="29"/>
      <c r="D32" s="752"/>
      <c r="E32" s="753"/>
      <c r="F32" s="753"/>
      <c r="G32" s="753"/>
      <c r="H32" s="753"/>
      <c r="I32" s="754"/>
      <c r="J32" s="33"/>
      <c r="K32" s="8"/>
      <c r="L32" s="9"/>
      <c r="M32" s="9"/>
    </row>
    <row r="33" spans="2:13" ht="20.100000000000001" customHeight="1" x14ac:dyDescent="0.3">
      <c r="B33" s="743"/>
      <c r="C33" s="22" t="s">
        <v>48</v>
      </c>
      <c r="D33" s="750"/>
      <c r="E33" s="726"/>
      <c r="F33" s="726"/>
      <c r="G33" s="726"/>
      <c r="H33" s="726"/>
      <c r="I33" s="727"/>
      <c r="J33" s="34"/>
      <c r="K33" s="8"/>
      <c r="L33" s="9"/>
      <c r="M33" s="9"/>
    </row>
    <row r="34" spans="2:13" ht="20.100000000000001" customHeight="1" x14ac:dyDescent="0.3">
      <c r="B34" s="743"/>
      <c r="C34" s="21" t="s">
        <v>66</v>
      </c>
      <c r="D34" s="725"/>
      <c r="E34" s="726"/>
      <c r="F34" s="726"/>
      <c r="G34" s="726"/>
      <c r="H34" s="726"/>
      <c r="I34" s="727"/>
      <c r="J34" s="35"/>
      <c r="K34" s="8"/>
      <c r="L34" s="9"/>
      <c r="M34" s="9"/>
    </row>
    <row r="35" spans="2:13" ht="20.100000000000001" customHeight="1" x14ac:dyDescent="0.3">
      <c r="B35" s="743"/>
      <c r="C35" s="67"/>
      <c r="D35" s="751"/>
      <c r="E35" s="748"/>
      <c r="F35" s="748"/>
      <c r="G35" s="748"/>
      <c r="H35" s="748"/>
      <c r="I35" s="749"/>
      <c r="J35" s="35"/>
      <c r="K35" s="8"/>
    </row>
    <row r="36" spans="2:13" ht="20.100000000000001" customHeight="1" x14ac:dyDescent="0.3">
      <c r="B36" s="743"/>
      <c r="C36" s="29"/>
      <c r="D36" s="752"/>
      <c r="E36" s="753"/>
      <c r="F36" s="753"/>
      <c r="G36" s="753"/>
      <c r="H36" s="753"/>
      <c r="I36" s="754"/>
      <c r="J36" s="33"/>
      <c r="K36" s="8"/>
    </row>
    <row r="37" spans="2:13" ht="20.100000000000001" customHeight="1" x14ac:dyDescent="0.3">
      <c r="B37" s="743"/>
      <c r="C37" s="22" t="s">
        <v>723</v>
      </c>
      <c r="D37" s="750"/>
      <c r="E37" s="726"/>
      <c r="F37" s="726"/>
      <c r="G37" s="726"/>
      <c r="H37" s="726"/>
      <c r="I37" s="727"/>
      <c r="J37" s="34"/>
      <c r="K37" s="8"/>
    </row>
    <row r="38" spans="2:13" ht="20.100000000000001" customHeight="1" x14ac:dyDescent="0.3">
      <c r="B38" s="743"/>
      <c r="C38" s="21" t="s">
        <v>951</v>
      </c>
      <c r="D38" s="725"/>
      <c r="E38" s="726"/>
      <c r="F38" s="726"/>
      <c r="G38" s="726"/>
      <c r="H38" s="726"/>
      <c r="I38" s="727"/>
      <c r="J38" s="35"/>
      <c r="K38" s="8"/>
    </row>
    <row r="39" spans="2:13" ht="20.100000000000001" customHeight="1" x14ac:dyDescent="0.3">
      <c r="B39" s="743"/>
      <c r="C39" s="67"/>
      <c r="D39" s="751"/>
      <c r="E39" s="748"/>
      <c r="F39" s="748"/>
      <c r="G39" s="748"/>
      <c r="H39" s="748"/>
      <c r="I39" s="749"/>
      <c r="J39" s="35"/>
      <c r="K39" s="8"/>
    </row>
    <row r="40" spans="2:13" ht="20.100000000000001" customHeight="1" x14ac:dyDescent="0.3">
      <c r="B40" s="743"/>
      <c r="C40" s="29"/>
      <c r="D40" s="752"/>
      <c r="E40" s="753"/>
      <c r="F40" s="753"/>
      <c r="G40" s="753"/>
      <c r="H40" s="753"/>
      <c r="I40" s="754"/>
      <c r="J40" s="33"/>
      <c r="K40" s="8"/>
    </row>
    <row r="41" spans="2:13" ht="20.100000000000001" customHeight="1" x14ac:dyDescent="0.3">
      <c r="B41" s="743"/>
      <c r="C41" s="69" t="s">
        <v>49</v>
      </c>
      <c r="D41" s="750"/>
      <c r="E41" s="726"/>
      <c r="F41" s="726"/>
      <c r="G41" s="726"/>
      <c r="H41" s="726"/>
      <c r="I41" s="727"/>
      <c r="J41" s="34"/>
      <c r="K41" s="8"/>
    </row>
    <row r="42" spans="2:13" ht="20.100000000000001" customHeight="1" x14ac:dyDescent="0.3">
      <c r="B42" s="743"/>
      <c r="C42" s="21"/>
      <c r="D42" s="725"/>
      <c r="E42" s="726"/>
      <c r="F42" s="726"/>
      <c r="G42" s="726"/>
      <c r="H42" s="726"/>
      <c r="I42" s="727"/>
      <c r="J42" s="35"/>
      <c r="K42" s="8"/>
    </row>
    <row r="43" spans="2:13" ht="20.100000000000001" customHeight="1" x14ac:dyDescent="0.3">
      <c r="B43" s="744"/>
      <c r="C43" s="67"/>
      <c r="D43" s="751"/>
      <c r="E43" s="748"/>
      <c r="F43" s="748"/>
      <c r="G43" s="748"/>
      <c r="H43" s="748"/>
      <c r="I43" s="749"/>
      <c r="J43" s="35"/>
      <c r="K43" s="8"/>
    </row>
    <row r="44" spans="2:13" ht="20.100000000000001" customHeight="1" x14ac:dyDescent="0.3">
      <c r="B44" s="745" t="s">
        <v>50</v>
      </c>
      <c r="C44" s="68" t="s">
        <v>3</v>
      </c>
      <c r="D44" s="752" t="s">
        <v>978</v>
      </c>
      <c r="E44" s="753"/>
      <c r="F44" s="753"/>
      <c r="G44" s="753"/>
      <c r="H44" s="753"/>
      <c r="I44" s="754"/>
      <c r="J44" s="33"/>
      <c r="K44" s="8"/>
    </row>
    <row r="45" spans="2:13" ht="20.100000000000001" customHeight="1" x14ac:dyDescent="0.3">
      <c r="B45" s="743"/>
      <c r="C45" s="20">
        <v>2</v>
      </c>
      <c r="D45" s="750" t="s">
        <v>979</v>
      </c>
      <c r="E45" s="726"/>
      <c r="F45" s="726"/>
      <c r="G45" s="726"/>
      <c r="H45" s="726"/>
      <c r="I45" s="727"/>
      <c r="J45" s="34"/>
      <c r="K45" s="8"/>
    </row>
    <row r="46" spans="2:13" ht="20.100000000000001" customHeight="1" x14ac:dyDescent="0.3">
      <c r="B46" s="743"/>
      <c r="C46" s="21" t="str">
        <f>IF(C45=1,"[조용환+]",IF(C45=2,"[한만석+]",IF(C45=3,"[남정현+]",IF(C45=4,"[김광표+]","???"))))</f>
        <v>[한만석+]</v>
      </c>
      <c r="D46" s="725" t="s">
        <v>967</v>
      </c>
      <c r="E46" s="726"/>
      <c r="F46" s="726"/>
      <c r="G46" s="726"/>
      <c r="H46" s="726"/>
      <c r="I46" s="727"/>
      <c r="J46" s="35"/>
      <c r="K46" s="8"/>
    </row>
    <row r="47" spans="2:13" ht="20.100000000000001" customHeight="1" x14ac:dyDescent="0.3">
      <c r="B47" s="743"/>
      <c r="C47" s="521"/>
      <c r="D47" s="728" t="s">
        <v>977</v>
      </c>
      <c r="E47" s="729"/>
      <c r="F47" s="729"/>
      <c r="G47" s="729"/>
      <c r="H47" s="729"/>
      <c r="I47" s="730"/>
      <c r="J47" s="35"/>
      <c r="K47" s="8"/>
    </row>
    <row r="48" spans="2:13" ht="20.100000000000001" customHeight="1" x14ac:dyDescent="0.3">
      <c r="B48" s="743"/>
      <c r="C48" s="13"/>
      <c r="D48" s="725" t="s">
        <v>968</v>
      </c>
      <c r="E48" s="726"/>
      <c r="F48" s="726"/>
      <c r="G48" s="726"/>
      <c r="H48" s="726"/>
      <c r="I48" s="727"/>
      <c r="J48" s="35"/>
      <c r="K48" s="8"/>
    </row>
    <row r="49" spans="1:17" ht="20.100000000000001" customHeight="1" x14ac:dyDescent="0.3">
      <c r="B49" s="743"/>
      <c r="C49" s="13"/>
      <c r="D49" s="725" t="s">
        <v>1063</v>
      </c>
      <c r="E49" s="726"/>
      <c r="F49" s="726"/>
      <c r="G49" s="726"/>
      <c r="H49" s="726"/>
      <c r="I49" s="727"/>
      <c r="J49" s="35" t="s">
        <v>969</v>
      </c>
      <c r="K49" s="8"/>
    </row>
    <row r="50" spans="1:17" ht="20.100000000000001" customHeight="1" x14ac:dyDescent="0.3">
      <c r="B50" s="743"/>
      <c r="C50" s="13"/>
      <c r="D50" s="725" t="s">
        <v>1064</v>
      </c>
      <c r="E50" s="726"/>
      <c r="F50" s="726"/>
      <c r="G50" s="726"/>
      <c r="H50" s="726"/>
      <c r="I50" s="727"/>
      <c r="J50" s="35"/>
      <c r="K50" s="8"/>
    </row>
    <row r="51" spans="1:17" ht="20.100000000000001" customHeight="1" x14ac:dyDescent="0.3">
      <c r="B51" s="743"/>
      <c r="C51" s="13"/>
      <c r="D51" s="725" t="s">
        <v>970</v>
      </c>
      <c r="E51" s="726"/>
      <c r="F51" s="726"/>
      <c r="G51" s="726"/>
      <c r="H51" s="726"/>
      <c r="I51" s="727"/>
      <c r="J51" s="35" t="s">
        <v>971</v>
      </c>
      <c r="K51" s="8"/>
    </row>
    <row r="52" spans="1:17" ht="20.100000000000001" customHeight="1" x14ac:dyDescent="0.3">
      <c r="B52" s="743"/>
      <c r="C52" s="13"/>
      <c r="D52" s="725" t="s">
        <v>975</v>
      </c>
      <c r="E52" s="726"/>
      <c r="F52" s="726"/>
      <c r="G52" s="726"/>
      <c r="H52" s="726"/>
      <c r="I52" s="727"/>
      <c r="J52" s="35" t="s">
        <v>976</v>
      </c>
      <c r="K52" s="8"/>
    </row>
    <row r="53" spans="1:17" ht="20.100000000000001" customHeight="1" x14ac:dyDescent="0.3">
      <c r="A53" s="13"/>
      <c r="B53" s="743"/>
      <c r="C53" s="13"/>
      <c r="D53" s="725" t="s">
        <v>972</v>
      </c>
      <c r="E53" s="726"/>
      <c r="F53" s="726"/>
      <c r="G53" s="726"/>
      <c r="H53" s="726"/>
      <c r="I53" s="727"/>
      <c r="J53" s="35" t="s">
        <v>973</v>
      </c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13"/>
      <c r="D54" s="725" t="s">
        <v>1065</v>
      </c>
      <c r="E54" s="726"/>
      <c r="F54" s="726"/>
      <c r="G54" s="726"/>
      <c r="H54" s="726"/>
      <c r="I54" s="727"/>
      <c r="J54" s="35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743"/>
      <c r="C55" s="13"/>
      <c r="D55" s="725" t="s">
        <v>974</v>
      </c>
      <c r="E55" s="726"/>
      <c r="F55" s="726"/>
      <c r="G55" s="726"/>
      <c r="H55" s="726"/>
      <c r="I55" s="727"/>
      <c r="J55" s="35"/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19"/>
      <c r="D56" s="747" t="s">
        <v>1066</v>
      </c>
      <c r="E56" s="748"/>
      <c r="F56" s="748"/>
      <c r="G56" s="748"/>
      <c r="H56" s="748"/>
      <c r="I56" s="749"/>
      <c r="J56" s="36"/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22" t="s">
        <v>8</v>
      </c>
      <c r="D57" s="752" t="s">
        <v>980</v>
      </c>
      <c r="E57" s="753"/>
      <c r="F57" s="753"/>
      <c r="G57" s="753"/>
      <c r="H57" s="753"/>
      <c r="I57" s="754"/>
      <c r="J57" s="33" t="s">
        <v>984</v>
      </c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20">
        <v>1</v>
      </c>
      <c r="D58" s="750" t="s">
        <v>981</v>
      </c>
      <c r="E58" s="726"/>
      <c r="F58" s="726"/>
      <c r="G58" s="726"/>
      <c r="H58" s="726"/>
      <c r="I58" s="727"/>
      <c r="J58" s="34" t="s">
        <v>985</v>
      </c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21" t="str">
        <f>IF(C58=1,"[조용환+]",IF(C58=2,"[한만석+]",IF(C58=3,"[남정현+]",IF(C58=4,"[김광표+]","???"))))</f>
        <v>[조용환+]</v>
      </c>
      <c r="D59" s="725" t="s">
        <v>982</v>
      </c>
      <c r="E59" s="726"/>
      <c r="F59" s="726"/>
      <c r="G59" s="726"/>
      <c r="H59" s="726"/>
      <c r="I59" s="727"/>
      <c r="J59" s="35" t="s">
        <v>986</v>
      </c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13"/>
      <c r="D60" s="725" t="s">
        <v>983</v>
      </c>
      <c r="E60" s="726"/>
      <c r="F60" s="726"/>
      <c r="G60" s="726"/>
      <c r="H60" s="726"/>
      <c r="I60" s="727"/>
      <c r="J60" s="35" t="s">
        <v>987</v>
      </c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13"/>
      <c r="D61" s="725" t="s">
        <v>988</v>
      </c>
      <c r="E61" s="726"/>
      <c r="F61" s="726"/>
      <c r="G61" s="726"/>
      <c r="H61" s="726"/>
      <c r="I61" s="727"/>
      <c r="J61" s="35"/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743"/>
      <c r="C62" s="13"/>
      <c r="D62" s="725" t="s">
        <v>989</v>
      </c>
      <c r="E62" s="726"/>
      <c r="F62" s="726"/>
      <c r="G62" s="726"/>
      <c r="H62" s="726"/>
      <c r="I62" s="727"/>
      <c r="J62" s="35" t="s">
        <v>990</v>
      </c>
      <c r="K62" s="8"/>
      <c r="L62" s="10"/>
      <c r="M62" s="10"/>
      <c r="N62" s="10"/>
      <c r="O62" s="10"/>
      <c r="P62" s="10"/>
      <c r="Q62" s="10"/>
    </row>
    <row r="63" spans="1:17" ht="20.100000000000001" customHeight="1" thickBot="1" x14ac:dyDescent="0.35">
      <c r="A63" s="13"/>
      <c r="B63" s="746"/>
      <c r="C63" s="25"/>
      <c r="D63" s="761"/>
      <c r="E63" s="762"/>
      <c r="F63" s="762"/>
      <c r="G63" s="762"/>
      <c r="H63" s="762"/>
      <c r="I63" s="763"/>
      <c r="J63" s="37"/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23" t="s">
        <v>12</v>
      </c>
      <c r="C64" s="17"/>
      <c r="D64" s="17"/>
      <c r="E64" s="17"/>
      <c r="F64" s="17"/>
      <c r="G64" s="17"/>
      <c r="H64" s="17"/>
      <c r="I64" s="17"/>
      <c r="J64" s="17"/>
      <c r="K64" s="8"/>
      <c r="L64" s="10"/>
      <c r="M64" s="10"/>
      <c r="N64" s="10"/>
      <c r="O64" s="10"/>
      <c r="P64" s="10"/>
      <c r="Q64" s="10"/>
    </row>
    <row r="65" spans="1:17" ht="6" customHeight="1" x14ac:dyDescent="0.3">
      <c r="A65" s="13"/>
      <c r="B65" s="17"/>
      <c r="C65" s="17"/>
      <c r="D65" s="17"/>
      <c r="E65" s="17"/>
      <c r="F65" s="17"/>
      <c r="G65" s="17"/>
      <c r="H65" s="17"/>
      <c r="I65" s="17"/>
      <c r="J65" s="17"/>
      <c r="K65" s="8"/>
      <c r="L65" s="10"/>
      <c r="M65" s="10"/>
      <c r="N65" s="10"/>
      <c r="O65" s="10"/>
      <c r="P65" s="10"/>
      <c r="Q65" s="10"/>
    </row>
    <row r="66" spans="1:17" ht="18.75" customHeight="1" thickBot="1" x14ac:dyDescent="0.35">
      <c r="B66" s="1" t="s">
        <v>7</v>
      </c>
      <c r="C66" s="17"/>
      <c r="D66" s="17"/>
      <c r="E66" s="17"/>
      <c r="F66" s="17"/>
      <c r="G66" s="17"/>
      <c r="H66" s="17"/>
      <c r="I66" s="17"/>
      <c r="J66" s="18"/>
      <c r="K66" s="8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38"/>
      <c r="B67" s="764" t="s">
        <v>991</v>
      </c>
      <c r="C67" s="765"/>
      <c r="D67" s="765"/>
      <c r="E67" s="765"/>
      <c r="F67" s="765"/>
      <c r="G67" s="765"/>
      <c r="H67" s="765"/>
      <c r="I67" s="765"/>
      <c r="J67" s="766"/>
      <c r="K67" s="39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38"/>
      <c r="B68" s="767"/>
      <c r="C68" s="768"/>
      <c r="D68" s="768"/>
      <c r="E68" s="768"/>
      <c r="F68" s="768"/>
      <c r="G68" s="768"/>
      <c r="H68" s="768"/>
      <c r="I68" s="768"/>
      <c r="J68" s="769"/>
      <c r="K68" s="39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38"/>
      <c r="B69" s="755"/>
      <c r="C69" s="756"/>
      <c r="D69" s="756"/>
      <c r="E69" s="756"/>
      <c r="F69" s="756"/>
      <c r="G69" s="756"/>
      <c r="H69" s="756"/>
      <c r="I69" s="756"/>
      <c r="J69" s="757"/>
      <c r="K69" s="39"/>
      <c r="L69" s="10"/>
      <c r="M69" s="10"/>
      <c r="N69" s="10"/>
      <c r="O69" s="10"/>
      <c r="P69" s="10"/>
      <c r="Q69" s="10"/>
    </row>
    <row r="70" spans="1:17" ht="20.100000000000001" customHeight="1" x14ac:dyDescent="0.3">
      <c r="A70" s="38"/>
      <c r="B70" s="755"/>
      <c r="C70" s="756"/>
      <c r="D70" s="756"/>
      <c r="E70" s="756"/>
      <c r="F70" s="756"/>
      <c r="G70" s="756"/>
      <c r="H70" s="756"/>
      <c r="I70" s="756"/>
      <c r="J70" s="757"/>
      <c r="K70" s="39"/>
      <c r="L70" s="10"/>
      <c r="M70" s="10"/>
      <c r="N70" s="10"/>
      <c r="O70" s="10"/>
      <c r="P70" s="10"/>
      <c r="Q70" s="10"/>
    </row>
    <row r="71" spans="1:17" ht="20.100000000000001" customHeight="1" x14ac:dyDescent="0.3">
      <c r="A71" s="38"/>
      <c r="B71" s="755"/>
      <c r="C71" s="756"/>
      <c r="D71" s="756"/>
      <c r="E71" s="756"/>
      <c r="F71" s="756"/>
      <c r="G71" s="756"/>
      <c r="H71" s="756"/>
      <c r="I71" s="756"/>
      <c r="J71" s="757"/>
      <c r="K71" s="38"/>
    </row>
    <row r="72" spans="1:17" ht="20.100000000000001" customHeight="1" thickBot="1" x14ac:dyDescent="0.35">
      <c r="A72" s="38"/>
      <c r="B72" s="758"/>
      <c r="C72" s="759"/>
      <c r="D72" s="759"/>
      <c r="E72" s="759"/>
      <c r="F72" s="759"/>
      <c r="G72" s="759"/>
      <c r="H72" s="759"/>
      <c r="I72" s="759"/>
      <c r="J72" s="760"/>
      <c r="K72" s="38"/>
    </row>
    <row r="73" spans="1:17" ht="5.25" customHeight="1" x14ac:dyDescent="0.3">
      <c r="B73" s="11"/>
      <c r="C73" s="11"/>
      <c r="D73" s="11"/>
      <c r="E73" s="11"/>
      <c r="F73" s="11"/>
      <c r="G73" s="11"/>
      <c r="H73" s="11"/>
      <c r="I73" s="11"/>
      <c r="J73" s="11"/>
    </row>
    <row r="74" spans="1:17" ht="24.95" customHeight="1" x14ac:dyDescent="0.3">
      <c r="B74" s="12"/>
      <c r="C74" s="12"/>
      <c r="D74" s="12"/>
      <c r="E74" s="12"/>
      <c r="F74" s="12"/>
      <c r="G74" s="12"/>
      <c r="H74" s="12"/>
      <c r="I74" s="12"/>
      <c r="J74" s="12"/>
    </row>
    <row r="75" spans="1:17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1:17" ht="24.95" customHeight="1" x14ac:dyDescent="0.3">
      <c r="B76" s="13"/>
      <c r="C76" s="770"/>
      <c r="D76" s="770"/>
      <c r="E76" s="770"/>
      <c r="F76" s="770"/>
      <c r="G76" s="770"/>
      <c r="H76" s="770"/>
      <c r="I76" s="13"/>
      <c r="J76" s="13"/>
    </row>
    <row r="77" spans="1:17" ht="24.95" customHeight="1" x14ac:dyDescent="0.3">
      <c r="B77" s="13"/>
      <c r="C77" s="14"/>
      <c r="D77" s="14"/>
      <c r="E77" s="14"/>
      <c r="F77" s="14"/>
      <c r="G77" s="14"/>
      <c r="H77" s="14"/>
      <c r="I77" s="13"/>
      <c r="J77" s="13"/>
    </row>
    <row r="78" spans="1:17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1:17" ht="24.95" customHeight="1" x14ac:dyDescent="0.3">
      <c r="B79" s="13"/>
      <c r="C79" s="770"/>
      <c r="D79" s="770"/>
      <c r="E79" s="770"/>
      <c r="F79" s="770"/>
      <c r="G79" s="770"/>
      <c r="H79" s="770"/>
      <c r="I79" s="13"/>
      <c r="J79" s="13"/>
    </row>
    <row r="80" spans="1:17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ht="24.95" customHeight="1" x14ac:dyDescent="0.3">
      <c r="B81" s="13"/>
      <c r="C81" s="13"/>
      <c r="D81" s="13"/>
      <c r="E81" s="14"/>
      <c r="F81" s="14"/>
      <c r="G81" s="14"/>
      <c r="H81" s="14"/>
      <c r="I81" s="14"/>
      <c r="J81" s="14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ht="24.95" customHeight="1" x14ac:dyDescent="0.3">
      <c r="B83" s="13"/>
      <c r="C83" s="13"/>
      <c r="D83" s="14"/>
      <c r="E83" s="14"/>
      <c r="F83" s="14"/>
      <c r="G83" s="14"/>
      <c r="H83" s="14"/>
      <c r="I83" s="14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ht="24.95" customHeight="1" x14ac:dyDescent="0.3">
      <c r="B85" s="13"/>
      <c r="C85" s="13"/>
      <c r="D85" s="14"/>
      <c r="E85" s="14"/>
      <c r="F85" s="14"/>
      <c r="G85" s="14"/>
      <c r="H85" s="14"/>
      <c r="I85" s="14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</sheetData>
  <mergeCells count="67">
    <mergeCell ref="C76:H76"/>
    <mergeCell ref="C79:H79"/>
    <mergeCell ref="B18:J18"/>
    <mergeCell ref="B2:J2"/>
    <mergeCell ref="B3:H3"/>
    <mergeCell ref="B6:J6"/>
    <mergeCell ref="B13:J13"/>
    <mergeCell ref="B14:J14"/>
    <mergeCell ref="B15:J15"/>
    <mergeCell ref="B16:J16"/>
    <mergeCell ref="B7:J7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5:I35"/>
    <mergeCell ref="D45:I45"/>
    <mergeCell ref="D36:I36"/>
    <mergeCell ref="D37:I37"/>
    <mergeCell ref="D38:I38"/>
    <mergeCell ref="D39:I39"/>
    <mergeCell ref="D40:I40"/>
    <mergeCell ref="D61:I61"/>
    <mergeCell ref="B71:J71"/>
    <mergeCell ref="D62:I62"/>
    <mergeCell ref="B72:J72"/>
    <mergeCell ref="D63:I63"/>
    <mergeCell ref="B67:J67"/>
    <mergeCell ref="B68:J68"/>
    <mergeCell ref="B69:J69"/>
    <mergeCell ref="B70:J70"/>
    <mergeCell ref="B19:J19"/>
    <mergeCell ref="B22:J22"/>
    <mergeCell ref="B24:B43"/>
    <mergeCell ref="B44:B63"/>
    <mergeCell ref="D46:I46"/>
    <mergeCell ref="D48:I48"/>
    <mergeCell ref="D56:I56"/>
    <mergeCell ref="D41:I41"/>
    <mergeCell ref="D42:I42"/>
    <mergeCell ref="D43:I43"/>
    <mergeCell ref="D44:I44"/>
    <mergeCell ref="D34:I34"/>
    <mergeCell ref="D57:I57"/>
    <mergeCell ref="D58:I58"/>
    <mergeCell ref="D59:I59"/>
    <mergeCell ref="D60:I60"/>
    <mergeCell ref="B17:J17"/>
    <mergeCell ref="B8:J8"/>
    <mergeCell ref="B9:J9"/>
    <mergeCell ref="B10:J10"/>
    <mergeCell ref="B11:J11"/>
    <mergeCell ref="B12:J12"/>
    <mergeCell ref="D55:I55"/>
    <mergeCell ref="D47:I47"/>
    <mergeCell ref="D49:I49"/>
    <mergeCell ref="D50:I50"/>
    <mergeCell ref="D51:I51"/>
    <mergeCell ref="D52:I52"/>
    <mergeCell ref="D54:I54"/>
    <mergeCell ref="D53:I53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Q108"/>
  <sheetViews>
    <sheetView showGridLines="0" view="pageBreakPreview" topLeftCell="A4" zoomScale="85" zoomScaleNormal="100" zoomScaleSheetLayoutView="85" workbookViewId="0">
      <selection activeCell="D68" sqref="D68:I6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'01'!B3+1</f>
        <v>46267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993</v>
      </c>
      <c r="C6" s="774"/>
      <c r="D6" s="774"/>
      <c r="E6" s="774"/>
      <c r="F6" s="774"/>
      <c r="G6" s="774"/>
      <c r="H6" s="774"/>
      <c r="I6" s="774"/>
      <c r="J6" s="775"/>
    </row>
    <row r="7" spans="2:10" ht="30.75" customHeight="1" x14ac:dyDescent="0.3">
      <c r="B7" s="777" t="s">
        <v>999</v>
      </c>
      <c r="C7" s="778"/>
      <c r="D7" s="778"/>
      <c r="E7" s="778"/>
      <c r="F7" s="778"/>
      <c r="G7" s="778"/>
      <c r="H7" s="778"/>
      <c r="I7" s="778"/>
      <c r="J7" s="779"/>
    </row>
    <row r="8" spans="2:10" ht="20.100000000000001" customHeight="1" x14ac:dyDescent="0.3">
      <c r="B8" s="734" t="s">
        <v>994</v>
      </c>
      <c r="C8" s="735"/>
      <c r="D8" s="735"/>
      <c r="E8" s="735"/>
      <c r="F8" s="735"/>
      <c r="G8" s="735"/>
      <c r="H8" s="735"/>
      <c r="I8" s="735"/>
      <c r="J8" s="736"/>
    </row>
    <row r="9" spans="2:10" ht="20.100000000000001" customHeight="1" x14ac:dyDescent="0.3">
      <c r="B9" s="734" t="s">
        <v>995</v>
      </c>
      <c r="C9" s="735"/>
      <c r="D9" s="735"/>
      <c r="E9" s="735"/>
      <c r="F9" s="735"/>
      <c r="G9" s="735"/>
      <c r="H9" s="735"/>
      <c r="I9" s="735"/>
      <c r="J9" s="736"/>
    </row>
    <row r="10" spans="2:10" ht="20.100000000000001" customHeight="1" x14ac:dyDescent="0.3">
      <c r="B10" s="734" t="s">
        <v>996</v>
      </c>
      <c r="C10" s="735"/>
      <c r="D10" s="735"/>
      <c r="E10" s="735"/>
      <c r="F10" s="735"/>
      <c r="G10" s="735"/>
      <c r="H10" s="735"/>
      <c r="I10" s="735"/>
      <c r="J10" s="736"/>
    </row>
    <row r="11" spans="2:10" ht="20.100000000000001" customHeight="1" x14ac:dyDescent="0.3">
      <c r="B11" s="731" t="s">
        <v>997</v>
      </c>
      <c r="C11" s="732"/>
      <c r="D11" s="732"/>
      <c r="E11" s="732"/>
      <c r="F11" s="732"/>
      <c r="G11" s="732"/>
      <c r="H11" s="732"/>
      <c r="I11" s="732"/>
      <c r="J11" s="733"/>
    </row>
    <row r="12" spans="2:10" ht="30.75" customHeight="1" x14ac:dyDescent="0.3">
      <c r="B12" s="777" t="s">
        <v>998</v>
      </c>
      <c r="C12" s="778"/>
      <c r="D12" s="778"/>
      <c r="E12" s="778"/>
      <c r="F12" s="778"/>
      <c r="G12" s="778"/>
      <c r="H12" s="778"/>
      <c r="I12" s="778"/>
      <c r="J12" s="779"/>
    </row>
    <row r="13" spans="2:10" ht="20.100000000000001" customHeight="1" x14ac:dyDescent="0.3">
      <c r="B13" s="731" t="s">
        <v>1000</v>
      </c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31" t="s">
        <v>1001</v>
      </c>
      <c r="C14" s="732"/>
      <c r="D14" s="732"/>
      <c r="E14" s="732"/>
      <c r="F14" s="732"/>
      <c r="G14" s="732"/>
      <c r="H14" s="732"/>
      <c r="I14" s="732"/>
      <c r="J14" s="733"/>
    </row>
    <row r="15" spans="2:10" ht="20.100000000000001" customHeight="1" x14ac:dyDescent="0.3">
      <c r="B15" s="731" t="s">
        <v>1002</v>
      </c>
      <c r="C15" s="732"/>
      <c r="D15" s="732"/>
      <c r="E15" s="732"/>
      <c r="F15" s="732"/>
      <c r="G15" s="732"/>
      <c r="H15" s="732"/>
      <c r="I15" s="732"/>
      <c r="J15" s="733"/>
    </row>
    <row r="16" spans="2:10" ht="20.100000000000001" customHeight="1" x14ac:dyDescent="0.3">
      <c r="B16" s="731" t="s">
        <v>1003</v>
      </c>
      <c r="C16" s="732"/>
      <c r="D16" s="732"/>
      <c r="E16" s="732"/>
      <c r="F16" s="732"/>
      <c r="G16" s="732"/>
      <c r="H16" s="732"/>
      <c r="I16" s="732"/>
      <c r="J16" s="733"/>
    </row>
    <row r="17" spans="2:11" ht="20.100000000000001" customHeight="1" x14ac:dyDescent="0.3">
      <c r="B17" s="731"/>
      <c r="C17" s="732"/>
      <c r="D17" s="732"/>
      <c r="E17" s="732"/>
      <c r="F17" s="732"/>
      <c r="G17" s="732"/>
      <c r="H17" s="732"/>
      <c r="I17" s="732"/>
      <c r="J17" s="733"/>
    </row>
    <row r="18" spans="2:11" ht="20.100000000000001" customHeight="1" x14ac:dyDescent="0.3">
      <c r="B18" s="731" t="s">
        <v>1004</v>
      </c>
      <c r="C18" s="732"/>
      <c r="D18" s="732"/>
      <c r="E18" s="732"/>
      <c r="F18" s="732"/>
      <c r="G18" s="732"/>
      <c r="H18" s="732"/>
      <c r="I18" s="732"/>
      <c r="J18" s="733"/>
    </row>
    <row r="19" spans="2:11" ht="38.25" customHeight="1" x14ac:dyDescent="0.3">
      <c r="B19" s="780" t="s">
        <v>1005</v>
      </c>
      <c r="C19" s="781"/>
      <c r="D19" s="781"/>
      <c r="E19" s="781"/>
      <c r="F19" s="781"/>
      <c r="G19" s="781"/>
      <c r="H19" s="781"/>
      <c r="I19" s="781"/>
      <c r="J19" s="782"/>
    </row>
    <row r="20" spans="2:11" ht="20.100000000000001" customHeight="1" x14ac:dyDescent="0.3">
      <c r="B20" s="734" t="s">
        <v>1007</v>
      </c>
      <c r="C20" s="735"/>
      <c r="D20" s="735"/>
      <c r="E20" s="735"/>
      <c r="F20" s="735"/>
      <c r="G20" s="735"/>
      <c r="H20" s="735"/>
      <c r="I20" s="735"/>
      <c r="J20" s="736"/>
    </row>
    <row r="21" spans="2:11" ht="20.100000000000001" customHeight="1" x14ac:dyDescent="0.3">
      <c r="B21" s="734" t="s">
        <v>1006</v>
      </c>
      <c r="C21" s="735"/>
      <c r="D21" s="735"/>
      <c r="E21" s="735"/>
      <c r="F21" s="735"/>
      <c r="G21" s="735"/>
      <c r="H21" s="735"/>
      <c r="I21" s="735"/>
      <c r="J21" s="736"/>
    </row>
    <row r="22" spans="2:11" ht="20.100000000000001" customHeight="1" x14ac:dyDescent="0.3">
      <c r="B22" s="731"/>
      <c r="C22" s="732"/>
      <c r="D22" s="732"/>
      <c r="E22" s="732"/>
      <c r="F22" s="732"/>
      <c r="G22" s="732"/>
      <c r="H22" s="732"/>
      <c r="I22" s="732"/>
      <c r="J22" s="733"/>
    </row>
    <row r="23" spans="2:11" ht="20.100000000000001" customHeight="1" x14ac:dyDescent="0.3">
      <c r="B23" s="731"/>
      <c r="C23" s="732"/>
      <c r="D23" s="732"/>
      <c r="E23" s="732"/>
      <c r="F23" s="732"/>
      <c r="G23" s="732"/>
      <c r="H23" s="732"/>
      <c r="I23" s="732"/>
      <c r="J23" s="733"/>
    </row>
    <row r="24" spans="2:11" ht="20.100000000000001" customHeight="1" thickBot="1" x14ac:dyDescent="0.35">
      <c r="B24" s="737"/>
      <c r="C24" s="738"/>
      <c r="D24" s="738"/>
      <c r="E24" s="738"/>
      <c r="F24" s="738"/>
      <c r="G24" s="738"/>
      <c r="H24" s="738"/>
      <c r="I24" s="738"/>
      <c r="J24" s="739"/>
    </row>
    <row r="25" spans="2:11" ht="7.5" customHeight="1" x14ac:dyDescent="0.3">
      <c r="B25" s="16"/>
      <c r="C25" s="16"/>
      <c r="D25" s="16"/>
      <c r="E25" s="16"/>
      <c r="F25" s="16"/>
      <c r="G25" s="16"/>
      <c r="H25" s="16"/>
      <c r="I25" s="16"/>
      <c r="J25" s="16"/>
    </row>
    <row r="26" spans="2:11" ht="21.75" customHeight="1" thickBot="1" x14ac:dyDescent="0.35">
      <c r="B26" s="1" t="s">
        <v>1</v>
      </c>
      <c r="I26" s="2"/>
      <c r="J26" s="24" t="s">
        <v>9</v>
      </c>
    </row>
    <row r="27" spans="2:11" ht="23.1" customHeight="1" thickBot="1" x14ac:dyDescent="0.35">
      <c r="B27" s="740" t="s">
        <v>10</v>
      </c>
      <c r="C27" s="741"/>
      <c r="D27" s="741"/>
      <c r="E27" s="741"/>
      <c r="F27" s="741"/>
      <c r="G27" s="741"/>
      <c r="H27" s="741"/>
      <c r="I27" s="741"/>
      <c r="J27" s="742"/>
    </row>
    <row r="28" spans="2:11" ht="24.95" customHeight="1" x14ac:dyDescent="0.3">
      <c r="B28" s="3" t="s">
        <v>0</v>
      </c>
      <c r="C28" s="31" t="s">
        <v>11</v>
      </c>
      <c r="D28" s="26" t="s">
        <v>5</v>
      </c>
      <c r="E28" s="27"/>
      <c r="F28" s="27"/>
      <c r="G28" s="27"/>
      <c r="H28" s="27"/>
      <c r="I28" s="28"/>
      <c r="J28" s="32" t="s">
        <v>4</v>
      </c>
      <c r="K28" s="8"/>
    </row>
    <row r="29" spans="2:11" ht="20.100000000000001" customHeight="1" x14ac:dyDescent="0.3">
      <c r="B29" s="743" t="s">
        <v>2</v>
      </c>
      <c r="C29" s="29"/>
      <c r="D29" s="752"/>
      <c r="E29" s="753"/>
      <c r="F29" s="753"/>
      <c r="G29" s="753"/>
      <c r="H29" s="753"/>
      <c r="I29" s="754"/>
      <c r="J29" s="33"/>
      <c r="K29" s="8"/>
    </row>
    <row r="30" spans="2:11" ht="20.100000000000001" customHeight="1" x14ac:dyDescent="0.3">
      <c r="B30" s="743"/>
      <c r="C30" s="22" t="s">
        <v>65</v>
      </c>
      <c r="D30" s="750"/>
      <c r="E30" s="726"/>
      <c r="F30" s="726"/>
      <c r="G30" s="726"/>
      <c r="H30" s="726"/>
      <c r="I30" s="727"/>
      <c r="J30" s="34"/>
      <c r="K30" s="8"/>
    </row>
    <row r="31" spans="2:11" ht="20.100000000000001" customHeight="1" x14ac:dyDescent="0.3">
      <c r="B31" s="743"/>
      <c r="C31" s="21" t="s">
        <v>243</v>
      </c>
      <c r="D31" s="725"/>
      <c r="E31" s="726"/>
      <c r="F31" s="726"/>
      <c r="G31" s="726"/>
      <c r="H31" s="726"/>
      <c r="I31" s="727"/>
      <c r="J31" s="35"/>
      <c r="K31" s="8"/>
    </row>
    <row r="32" spans="2:11" ht="20.100000000000001" customHeight="1" x14ac:dyDescent="0.3">
      <c r="B32" s="743"/>
      <c r="C32" s="67"/>
      <c r="D32" s="751"/>
      <c r="E32" s="748"/>
      <c r="F32" s="748"/>
      <c r="G32" s="748"/>
      <c r="H32" s="748"/>
      <c r="I32" s="749"/>
      <c r="J32" s="36"/>
      <c r="K32" s="8"/>
    </row>
    <row r="33" spans="2:13" ht="20.100000000000001" customHeight="1" x14ac:dyDescent="0.3">
      <c r="B33" s="743"/>
      <c r="C33" s="29"/>
      <c r="D33" s="752"/>
      <c r="E33" s="753"/>
      <c r="F33" s="753"/>
      <c r="G33" s="753"/>
      <c r="H33" s="753"/>
      <c r="I33" s="754"/>
      <c r="J33" s="33"/>
      <c r="K33" s="8"/>
    </row>
    <row r="34" spans="2:13" ht="20.100000000000001" customHeight="1" x14ac:dyDescent="0.3">
      <c r="B34" s="743"/>
      <c r="C34" s="22" t="s">
        <v>47</v>
      </c>
      <c r="D34" s="750"/>
      <c r="E34" s="726"/>
      <c r="F34" s="726"/>
      <c r="G34" s="726"/>
      <c r="H34" s="726"/>
      <c r="I34" s="727"/>
      <c r="J34" s="34"/>
      <c r="K34" s="8"/>
    </row>
    <row r="35" spans="2:13" ht="20.100000000000001" customHeight="1" x14ac:dyDescent="0.3">
      <c r="B35" s="743"/>
      <c r="C35" s="21" t="s">
        <v>375</v>
      </c>
      <c r="D35" s="725"/>
      <c r="E35" s="726"/>
      <c r="F35" s="726"/>
      <c r="G35" s="726"/>
      <c r="H35" s="726"/>
      <c r="I35" s="727"/>
      <c r="J35" s="35"/>
      <c r="K35" s="8"/>
    </row>
    <row r="36" spans="2:13" ht="20.100000000000001" customHeight="1" x14ac:dyDescent="0.3">
      <c r="B36" s="743"/>
      <c r="C36" s="21"/>
      <c r="D36" s="751"/>
      <c r="E36" s="748"/>
      <c r="F36" s="748"/>
      <c r="G36" s="748"/>
      <c r="H36" s="748"/>
      <c r="I36" s="749"/>
      <c r="J36" s="35"/>
      <c r="K36" s="8"/>
    </row>
    <row r="37" spans="2:13" ht="20.100000000000001" customHeight="1" x14ac:dyDescent="0.3">
      <c r="B37" s="743"/>
      <c r="C37" s="29"/>
      <c r="D37" s="752"/>
      <c r="E37" s="753"/>
      <c r="F37" s="753"/>
      <c r="G37" s="753"/>
      <c r="H37" s="753"/>
      <c r="I37" s="754"/>
      <c r="J37" s="33"/>
      <c r="K37" s="8"/>
      <c r="L37" s="9"/>
    </row>
    <row r="38" spans="2:13" ht="20.100000000000001" customHeight="1" x14ac:dyDescent="0.3">
      <c r="B38" s="743"/>
      <c r="C38" s="22" t="s">
        <v>48</v>
      </c>
      <c r="D38" s="750"/>
      <c r="E38" s="726"/>
      <c r="F38" s="726"/>
      <c r="G38" s="726"/>
      <c r="H38" s="726"/>
      <c r="I38" s="727"/>
      <c r="J38" s="34"/>
      <c r="K38" s="8"/>
      <c r="L38" s="9"/>
      <c r="M38" s="9"/>
    </row>
    <row r="39" spans="2:13" ht="20.100000000000001" customHeight="1" x14ac:dyDescent="0.3">
      <c r="B39" s="743"/>
      <c r="C39" s="21" t="s">
        <v>66</v>
      </c>
      <c r="D39" s="725"/>
      <c r="E39" s="726"/>
      <c r="F39" s="726"/>
      <c r="G39" s="726"/>
      <c r="H39" s="726"/>
      <c r="I39" s="727"/>
      <c r="J39" s="35"/>
      <c r="K39" s="8"/>
      <c r="L39" s="9"/>
      <c r="M39" s="9"/>
    </row>
    <row r="40" spans="2:13" ht="20.100000000000001" customHeight="1" x14ac:dyDescent="0.3">
      <c r="B40" s="743"/>
      <c r="C40" s="67"/>
      <c r="D40" s="751"/>
      <c r="E40" s="748"/>
      <c r="F40" s="748"/>
      <c r="G40" s="748"/>
      <c r="H40" s="748"/>
      <c r="I40" s="749"/>
      <c r="J40" s="35"/>
      <c r="K40" s="8"/>
      <c r="L40" s="9"/>
      <c r="M40" s="9"/>
    </row>
    <row r="41" spans="2:13" ht="20.100000000000001" customHeight="1" x14ac:dyDescent="0.3">
      <c r="B41" s="743"/>
      <c r="C41" s="29"/>
      <c r="D41" s="752"/>
      <c r="E41" s="753"/>
      <c r="F41" s="753"/>
      <c r="G41" s="753"/>
      <c r="H41" s="753"/>
      <c r="I41" s="754"/>
      <c r="J41" s="33"/>
      <c r="K41" s="8"/>
    </row>
    <row r="42" spans="2:13" ht="20.100000000000001" customHeight="1" x14ac:dyDescent="0.3">
      <c r="B42" s="743"/>
      <c r="C42" s="22" t="s">
        <v>723</v>
      </c>
      <c r="D42" s="750"/>
      <c r="E42" s="726"/>
      <c r="F42" s="726"/>
      <c r="G42" s="726"/>
      <c r="H42" s="726"/>
      <c r="I42" s="727"/>
      <c r="J42" s="34"/>
      <c r="K42" s="8"/>
    </row>
    <row r="43" spans="2:13" ht="20.100000000000001" customHeight="1" x14ac:dyDescent="0.3">
      <c r="B43" s="743"/>
      <c r="C43" s="21" t="s">
        <v>951</v>
      </c>
      <c r="D43" s="725"/>
      <c r="E43" s="726"/>
      <c r="F43" s="726"/>
      <c r="G43" s="726"/>
      <c r="H43" s="726"/>
      <c r="I43" s="727"/>
      <c r="J43" s="35"/>
      <c r="K43" s="8"/>
    </row>
    <row r="44" spans="2:13" ht="20.100000000000001" customHeight="1" x14ac:dyDescent="0.3">
      <c r="B44" s="743"/>
      <c r="C44" s="67"/>
      <c r="D44" s="751"/>
      <c r="E44" s="748"/>
      <c r="F44" s="748"/>
      <c r="G44" s="748"/>
      <c r="H44" s="748"/>
      <c r="I44" s="749"/>
      <c r="J44" s="35"/>
      <c r="K44" s="8"/>
    </row>
    <row r="45" spans="2:13" ht="20.100000000000001" customHeight="1" x14ac:dyDescent="0.3">
      <c r="B45" s="743"/>
      <c r="C45" s="29"/>
      <c r="D45" s="752"/>
      <c r="E45" s="753"/>
      <c r="F45" s="753"/>
      <c r="G45" s="753"/>
      <c r="H45" s="753"/>
      <c r="I45" s="754"/>
      <c r="J45" s="33"/>
      <c r="K45" s="8"/>
    </row>
    <row r="46" spans="2:13" ht="20.100000000000001" customHeight="1" x14ac:dyDescent="0.3">
      <c r="B46" s="743"/>
      <c r="C46" s="69" t="s">
        <v>49</v>
      </c>
      <c r="D46" s="750"/>
      <c r="E46" s="726"/>
      <c r="F46" s="726"/>
      <c r="G46" s="726"/>
      <c r="H46" s="726"/>
      <c r="I46" s="727"/>
      <c r="J46" s="34"/>
      <c r="K46" s="8"/>
    </row>
    <row r="47" spans="2:13" ht="20.100000000000001" customHeight="1" x14ac:dyDescent="0.3">
      <c r="B47" s="743"/>
      <c r="C47" s="21"/>
      <c r="D47" s="725"/>
      <c r="E47" s="726"/>
      <c r="F47" s="726"/>
      <c r="G47" s="726"/>
      <c r="H47" s="726"/>
      <c r="I47" s="727"/>
      <c r="J47" s="35"/>
      <c r="K47" s="8"/>
    </row>
    <row r="48" spans="2:13" ht="20.100000000000001" customHeight="1" x14ac:dyDescent="0.3">
      <c r="B48" s="744"/>
      <c r="C48" s="67"/>
      <c r="D48" s="751"/>
      <c r="E48" s="748"/>
      <c r="F48" s="748"/>
      <c r="G48" s="748"/>
      <c r="H48" s="748"/>
      <c r="I48" s="749"/>
      <c r="J48" s="35"/>
      <c r="K48" s="8"/>
    </row>
    <row r="49" spans="1:17" ht="20.100000000000001" customHeight="1" x14ac:dyDescent="0.3">
      <c r="B49" s="745" t="s">
        <v>50</v>
      </c>
      <c r="C49" s="68" t="s">
        <v>3</v>
      </c>
      <c r="D49" s="752" t="s">
        <v>1067</v>
      </c>
      <c r="E49" s="753"/>
      <c r="F49" s="753"/>
      <c r="G49" s="753"/>
      <c r="H49" s="753"/>
      <c r="I49" s="754"/>
      <c r="J49" s="33" t="s">
        <v>1008</v>
      </c>
      <c r="K49" s="8"/>
    </row>
    <row r="50" spans="1:17" ht="20.100000000000001" customHeight="1" x14ac:dyDescent="0.3">
      <c r="B50" s="743"/>
      <c r="C50" s="20">
        <v>2</v>
      </c>
      <c r="D50" s="750" t="s">
        <v>1068</v>
      </c>
      <c r="E50" s="726"/>
      <c r="F50" s="726"/>
      <c r="G50" s="726"/>
      <c r="H50" s="726"/>
      <c r="I50" s="727"/>
      <c r="J50" s="34" t="s">
        <v>1008</v>
      </c>
      <c r="K50" s="8"/>
    </row>
    <row r="51" spans="1:17" ht="20.100000000000001" customHeight="1" x14ac:dyDescent="0.3">
      <c r="B51" s="743"/>
      <c r="C51" s="21" t="str">
        <f>IF(C50=1,"[조용환+]",IF(C50=2,"[한만석+]",IF(C50=3,"[남정현+]",IF(C50=4,"[김광표+]","???"))))</f>
        <v>[한만석+]</v>
      </c>
      <c r="D51" s="725" t="s">
        <v>1010</v>
      </c>
      <c r="E51" s="726"/>
      <c r="F51" s="726"/>
      <c r="G51" s="726"/>
      <c r="H51" s="726"/>
      <c r="I51" s="727"/>
      <c r="J51" s="35" t="s">
        <v>1009</v>
      </c>
      <c r="K51" s="8"/>
    </row>
    <row r="52" spans="1:17" ht="20.100000000000001" customHeight="1" x14ac:dyDescent="0.3">
      <c r="B52" s="743"/>
      <c r="C52" s="521"/>
      <c r="D52" s="725" t="s">
        <v>1013</v>
      </c>
      <c r="E52" s="726"/>
      <c r="F52" s="726"/>
      <c r="G52" s="726"/>
      <c r="H52" s="726"/>
      <c r="I52" s="727"/>
      <c r="J52" s="35"/>
      <c r="K52" s="8"/>
    </row>
    <row r="53" spans="1:17" ht="20.100000000000001" customHeight="1" x14ac:dyDescent="0.3">
      <c r="B53" s="743"/>
      <c r="C53" s="521"/>
      <c r="D53" s="725" t="s">
        <v>1011</v>
      </c>
      <c r="E53" s="726"/>
      <c r="F53" s="726"/>
      <c r="G53" s="726"/>
      <c r="H53" s="726"/>
      <c r="I53" s="727"/>
      <c r="J53" s="35"/>
      <c r="K53" s="8"/>
    </row>
    <row r="54" spans="1:17" ht="20.100000000000001" customHeight="1" x14ac:dyDescent="0.3">
      <c r="B54" s="743"/>
      <c r="C54" s="521"/>
      <c r="D54" s="725" t="s">
        <v>1012</v>
      </c>
      <c r="E54" s="726"/>
      <c r="F54" s="726"/>
      <c r="G54" s="726"/>
      <c r="H54" s="726"/>
      <c r="I54" s="727"/>
      <c r="J54" s="35"/>
      <c r="K54" s="8"/>
    </row>
    <row r="55" spans="1:17" ht="20.100000000000001" customHeight="1" x14ac:dyDescent="0.3">
      <c r="B55" s="743"/>
      <c r="C55" s="521"/>
      <c r="D55" s="725" t="s">
        <v>1069</v>
      </c>
      <c r="E55" s="726"/>
      <c r="F55" s="726"/>
      <c r="G55" s="726"/>
      <c r="H55" s="726"/>
      <c r="I55" s="727"/>
      <c r="J55" s="35"/>
      <c r="K55" s="8"/>
    </row>
    <row r="56" spans="1:17" ht="20.100000000000001" customHeight="1" x14ac:dyDescent="0.3">
      <c r="B56" s="743"/>
      <c r="C56" s="521"/>
      <c r="D56" s="725" t="s">
        <v>1014</v>
      </c>
      <c r="E56" s="726"/>
      <c r="F56" s="726"/>
      <c r="G56" s="726"/>
      <c r="H56" s="726"/>
      <c r="I56" s="727"/>
      <c r="J56" s="35"/>
      <c r="K56" s="8"/>
    </row>
    <row r="57" spans="1:17" ht="20.100000000000001" customHeight="1" x14ac:dyDescent="0.3">
      <c r="B57" s="743"/>
      <c r="C57" s="521"/>
      <c r="D57" s="725" t="s">
        <v>1016</v>
      </c>
      <c r="E57" s="726"/>
      <c r="F57" s="726"/>
      <c r="G57" s="726"/>
      <c r="H57" s="726"/>
      <c r="I57" s="727"/>
      <c r="J57" s="35" t="s">
        <v>1015</v>
      </c>
      <c r="K57" s="8"/>
    </row>
    <row r="58" spans="1:17" ht="19.5" customHeight="1" x14ac:dyDescent="0.3">
      <c r="B58" s="743"/>
      <c r="C58" s="13"/>
      <c r="D58" s="725" t="s">
        <v>1017</v>
      </c>
      <c r="E58" s="726"/>
      <c r="F58" s="726"/>
      <c r="G58" s="726"/>
      <c r="H58" s="726"/>
      <c r="I58" s="727"/>
      <c r="J58" s="35" t="s">
        <v>1008</v>
      </c>
      <c r="K58" s="8"/>
    </row>
    <row r="59" spans="1:17" ht="20.100000000000001" customHeight="1" x14ac:dyDescent="0.3">
      <c r="B59" s="743"/>
      <c r="C59" s="13"/>
      <c r="D59" s="725" t="s">
        <v>1020</v>
      </c>
      <c r="E59" s="726"/>
      <c r="F59" s="726"/>
      <c r="G59" s="726"/>
      <c r="H59" s="726"/>
      <c r="I59" s="727"/>
      <c r="J59" s="35"/>
      <c r="K59" s="8"/>
    </row>
    <row r="60" spans="1:17" ht="20.100000000000001" customHeight="1" x14ac:dyDescent="0.3">
      <c r="B60" s="743"/>
      <c r="C60" s="13"/>
      <c r="D60" s="725" t="s">
        <v>1021</v>
      </c>
      <c r="E60" s="726"/>
      <c r="F60" s="726"/>
      <c r="G60" s="726"/>
      <c r="H60" s="726"/>
      <c r="I60" s="727"/>
      <c r="J60" s="35" t="s">
        <v>1018</v>
      </c>
      <c r="K60" s="8"/>
    </row>
    <row r="61" spans="1:17" ht="20.100000000000001" customHeight="1" x14ac:dyDescent="0.3">
      <c r="B61" s="743"/>
      <c r="C61" s="19"/>
      <c r="D61" s="747" t="s">
        <v>1019</v>
      </c>
      <c r="E61" s="748"/>
      <c r="F61" s="748"/>
      <c r="G61" s="748"/>
      <c r="H61" s="748"/>
      <c r="I61" s="749"/>
      <c r="J61" s="36"/>
      <c r="K61" s="8"/>
    </row>
    <row r="62" spans="1:17" ht="20.100000000000001" customHeight="1" x14ac:dyDescent="0.3">
      <c r="A62" s="13"/>
      <c r="B62" s="743"/>
      <c r="C62" s="22" t="s">
        <v>8</v>
      </c>
      <c r="D62" s="752" t="s">
        <v>1022</v>
      </c>
      <c r="E62" s="753"/>
      <c r="F62" s="753"/>
      <c r="G62" s="753"/>
      <c r="H62" s="753"/>
      <c r="I62" s="754"/>
      <c r="J62" s="33" t="s">
        <v>1023</v>
      </c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743"/>
      <c r="C63" s="20">
        <v>1</v>
      </c>
      <c r="D63" s="750" t="s">
        <v>1024</v>
      </c>
      <c r="E63" s="726"/>
      <c r="F63" s="726"/>
      <c r="G63" s="726"/>
      <c r="H63" s="726"/>
      <c r="I63" s="727"/>
      <c r="J63" s="34" t="s">
        <v>1008</v>
      </c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743"/>
      <c r="C64" s="21" t="str">
        <f>IF(C63=1,"[조용환+]",IF(C63=2,"[한만석+]",IF(C63=3,"[남정현+]",IF(C63=4,"[김광표+]","???"))))</f>
        <v>[조용환+]</v>
      </c>
      <c r="D64" s="725" t="s">
        <v>1025</v>
      </c>
      <c r="E64" s="726"/>
      <c r="F64" s="726"/>
      <c r="G64" s="726"/>
      <c r="H64" s="726"/>
      <c r="I64" s="727"/>
      <c r="J64" s="35" t="s">
        <v>1023</v>
      </c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13"/>
      <c r="B65" s="743"/>
      <c r="C65" s="13"/>
      <c r="D65" s="725" t="s">
        <v>1070</v>
      </c>
      <c r="E65" s="726"/>
      <c r="F65" s="726"/>
      <c r="G65" s="726"/>
      <c r="H65" s="726"/>
      <c r="I65" s="727"/>
      <c r="J65" s="35"/>
      <c r="K65" s="8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13"/>
      <c r="B66" s="743"/>
      <c r="C66" s="13"/>
      <c r="D66" s="725" t="s">
        <v>1071</v>
      </c>
      <c r="E66" s="726"/>
      <c r="F66" s="726"/>
      <c r="G66" s="726"/>
      <c r="H66" s="726"/>
      <c r="I66" s="727"/>
      <c r="J66" s="35"/>
      <c r="K66" s="8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13"/>
      <c r="B67" s="743"/>
      <c r="C67" s="13"/>
      <c r="D67" s="725" t="s">
        <v>1026</v>
      </c>
      <c r="E67" s="726"/>
      <c r="F67" s="726"/>
      <c r="G67" s="726"/>
      <c r="H67" s="726"/>
      <c r="I67" s="727"/>
      <c r="J67" s="35"/>
      <c r="K67" s="8"/>
      <c r="L67" s="10"/>
      <c r="M67" s="10"/>
      <c r="N67" s="10"/>
      <c r="O67" s="10"/>
      <c r="P67" s="10"/>
      <c r="Q67" s="10"/>
    </row>
    <row r="68" spans="1:17" ht="20.100000000000001" customHeight="1" thickBot="1" x14ac:dyDescent="0.35">
      <c r="A68" s="13"/>
      <c r="B68" s="746"/>
      <c r="C68" s="25"/>
      <c r="D68" s="761" t="s">
        <v>1027</v>
      </c>
      <c r="E68" s="762"/>
      <c r="F68" s="762"/>
      <c r="G68" s="762"/>
      <c r="H68" s="762"/>
      <c r="I68" s="763"/>
      <c r="J68" s="37"/>
      <c r="K68" s="8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13"/>
      <c r="B69" s="23" t="s">
        <v>12</v>
      </c>
      <c r="C69" s="17"/>
      <c r="D69" s="17"/>
      <c r="E69" s="17"/>
      <c r="F69" s="17"/>
      <c r="G69" s="17"/>
      <c r="H69" s="17"/>
      <c r="I69" s="17"/>
      <c r="J69" s="17"/>
      <c r="K69" s="8"/>
      <c r="L69" s="10"/>
      <c r="M69" s="10"/>
      <c r="N69" s="10"/>
      <c r="O69" s="10"/>
      <c r="P69" s="10"/>
      <c r="Q69" s="10"/>
    </row>
    <row r="70" spans="1:17" ht="6" customHeight="1" x14ac:dyDescent="0.3">
      <c r="A70" s="13"/>
      <c r="B70" s="17"/>
      <c r="C70" s="17"/>
      <c r="D70" s="17"/>
      <c r="E70" s="17"/>
      <c r="F70" s="17"/>
      <c r="G70" s="17"/>
      <c r="H70" s="17"/>
      <c r="I70" s="17"/>
      <c r="J70" s="17"/>
      <c r="K70" s="8"/>
      <c r="L70" s="10"/>
      <c r="M70" s="10"/>
      <c r="N70" s="10"/>
      <c r="O70" s="10"/>
      <c r="P70" s="10"/>
      <c r="Q70" s="10"/>
    </row>
    <row r="71" spans="1:17" ht="18.75" customHeight="1" thickBot="1" x14ac:dyDescent="0.35">
      <c r="B71" s="1" t="s">
        <v>7</v>
      </c>
      <c r="C71" s="17"/>
      <c r="D71" s="17"/>
      <c r="E71" s="17"/>
      <c r="F71" s="17"/>
      <c r="G71" s="17"/>
      <c r="H71" s="17"/>
      <c r="I71" s="17"/>
      <c r="J71" s="18"/>
      <c r="K71" s="8"/>
      <c r="L71" s="10"/>
      <c r="M71" s="10"/>
      <c r="N71" s="10"/>
      <c r="O71" s="10"/>
      <c r="P71" s="10"/>
      <c r="Q71" s="10"/>
    </row>
    <row r="72" spans="1:17" ht="20.100000000000001" customHeight="1" x14ac:dyDescent="0.3">
      <c r="B72" s="764" t="s">
        <v>992</v>
      </c>
      <c r="C72" s="765"/>
      <c r="D72" s="765"/>
      <c r="E72" s="765"/>
      <c r="F72" s="765"/>
      <c r="G72" s="765"/>
      <c r="H72" s="765"/>
      <c r="I72" s="765"/>
      <c r="J72" s="766"/>
      <c r="K72" s="8"/>
      <c r="L72" s="10"/>
      <c r="M72" s="10"/>
      <c r="N72" s="10"/>
      <c r="O72" s="10"/>
      <c r="P72" s="10"/>
      <c r="Q72" s="10"/>
    </row>
    <row r="73" spans="1:17" ht="20.100000000000001" customHeight="1" x14ac:dyDescent="0.3">
      <c r="B73" s="767"/>
      <c r="C73" s="768"/>
      <c r="D73" s="768"/>
      <c r="E73" s="768"/>
      <c r="F73" s="768"/>
      <c r="G73" s="768"/>
      <c r="H73" s="768"/>
      <c r="I73" s="768"/>
      <c r="J73" s="769"/>
      <c r="K73" s="8"/>
      <c r="L73" s="10"/>
      <c r="M73" s="10"/>
      <c r="N73" s="10"/>
      <c r="O73" s="10"/>
      <c r="P73" s="10"/>
      <c r="Q73" s="10"/>
    </row>
    <row r="74" spans="1:17" ht="20.100000000000001" customHeight="1" x14ac:dyDescent="0.3">
      <c r="B74" s="755"/>
      <c r="C74" s="756"/>
      <c r="D74" s="756"/>
      <c r="E74" s="756"/>
      <c r="F74" s="756"/>
      <c r="G74" s="756"/>
      <c r="H74" s="756"/>
      <c r="I74" s="756"/>
      <c r="J74" s="757"/>
      <c r="K74" s="8"/>
      <c r="L74" s="10"/>
      <c r="M74" s="10"/>
      <c r="N74" s="10"/>
      <c r="O74" s="10"/>
      <c r="P74" s="10"/>
      <c r="Q74" s="10"/>
    </row>
    <row r="75" spans="1:17" ht="20.100000000000001" customHeight="1" x14ac:dyDescent="0.3">
      <c r="B75" s="755"/>
      <c r="C75" s="756"/>
      <c r="D75" s="756"/>
      <c r="E75" s="756"/>
      <c r="F75" s="756"/>
      <c r="G75" s="756"/>
      <c r="H75" s="756"/>
      <c r="I75" s="756"/>
      <c r="J75" s="757"/>
      <c r="K75" s="8"/>
      <c r="L75" s="10"/>
      <c r="M75" s="10"/>
      <c r="N75" s="10"/>
      <c r="O75" s="10"/>
      <c r="P75" s="10"/>
      <c r="Q75" s="10"/>
    </row>
    <row r="76" spans="1:17" ht="20.100000000000001" customHeight="1" x14ac:dyDescent="0.3">
      <c r="B76" s="755"/>
      <c r="C76" s="756"/>
      <c r="D76" s="756"/>
      <c r="E76" s="756"/>
      <c r="F76" s="756"/>
      <c r="G76" s="756"/>
      <c r="H76" s="756"/>
      <c r="I76" s="756"/>
      <c r="J76" s="757"/>
    </row>
    <row r="77" spans="1:17" ht="20.100000000000001" customHeight="1" thickBot="1" x14ac:dyDescent="0.35">
      <c r="B77" s="758"/>
      <c r="C77" s="759"/>
      <c r="D77" s="759"/>
      <c r="E77" s="759"/>
      <c r="F77" s="759"/>
      <c r="G77" s="759"/>
      <c r="H77" s="759"/>
      <c r="I77" s="759"/>
      <c r="J77" s="760"/>
    </row>
    <row r="78" spans="1:17" ht="5.25" customHeight="1" x14ac:dyDescent="0.3">
      <c r="B78" s="11"/>
      <c r="C78" s="11"/>
      <c r="D78" s="11"/>
      <c r="E78" s="11"/>
      <c r="F78" s="11"/>
      <c r="G78" s="11"/>
      <c r="H78" s="11"/>
      <c r="I78" s="11"/>
      <c r="J78" s="11"/>
    </row>
    <row r="79" spans="1:17" ht="24.95" customHeight="1" x14ac:dyDescent="0.3">
      <c r="B79" s="12"/>
      <c r="C79" s="12"/>
      <c r="D79" s="12"/>
      <c r="E79" s="12"/>
      <c r="F79" s="12"/>
      <c r="G79" s="12"/>
      <c r="H79" s="12"/>
      <c r="I79" s="12"/>
      <c r="J79" s="12"/>
    </row>
    <row r="80" spans="1:17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ht="24.95" customHeight="1" x14ac:dyDescent="0.3">
      <c r="B81" s="13"/>
      <c r="C81" s="770"/>
      <c r="D81" s="770"/>
      <c r="E81" s="770"/>
      <c r="F81" s="770"/>
      <c r="G81" s="770"/>
      <c r="H81" s="770"/>
      <c r="I81" s="13"/>
      <c r="J81" s="13"/>
    </row>
    <row r="82" spans="2:10" ht="24.95" customHeight="1" x14ac:dyDescent="0.3">
      <c r="B82" s="13"/>
      <c r="C82" s="14"/>
      <c r="D82" s="14"/>
      <c r="E82" s="14"/>
      <c r="F82" s="14"/>
      <c r="G82" s="14"/>
      <c r="H82" s="14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ht="24.95" customHeight="1" x14ac:dyDescent="0.3">
      <c r="B84" s="13"/>
      <c r="C84" s="770"/>
      <c r="D84" s="770"/>
      <c r="E84" s="770"/>
      <c r="F84" s="770"/>
      <c r="G84" s="770"/>
      <c r="H84" s="770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ht="24.95" customHeight="1" x14ac:dyDescent="0.3">
      <c r="B86" s="13"/>
      <c r="C86" s="13"/>
      <c r="D86" s="13"/>
      <c r="E86" s="14"/>
      <c r="F86" s="14"/>
      <c r="G86" s="14"/>
      <c r="H86" s="14"/>
      <c r="I86" s="14"/>
      <c r="J86" s="14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ht="24.95" customHeight="1" x14ac:dyDescent="0.3">
      <c r="B88" s="13"/>
      <c r="C88" s="13"/>
      <c r="D88" s="14"/>
      <c r="E88" s="14"/>
      <c r="F88" s="14"/>
      <c r="G88" s="14"/>
      <c r="H88" s="14"/>
      <c r="I88" s="14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ht="24.95" customHeight="1" x14ac:dyDescent="0.3">
      <c r="B90" s="13"/>
      <c r="C90" s="13"/>
      <c r="D90" s="14"/>
      <c r="E90" s="14"/>
      <c r="F90" s="14"/>
      <c r="G90" s="14"/>
      <c r="H90" s="14"/>
      <c r="I90" s="14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3"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2:10" x14ac:dyDescent="0.3"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2:10" x14ac:dyDescent="0.3"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2:10" x14ac:dyDescent="0.3">
      <c r="B108" s="13"/>
      <c r="C108" s="13"/>
      <c r="D108" s="13"/>
      <c r="E108" s="13"/>
      <c r="F108" s="13"/>
      <c r="G108" s="13"/>
      <c r="H108" s="13"/>
      <c r="I108" s="13"/>
      <c r="J108" s="13"/>
    </row>
  </sheetData>
  <mergeCells count="72">
    <mergeCell ref="B2:J2"/>
    <mergeCell ref="B3:H3"/>
    <mergeCell ref="B6:J6"/>
    <mergeCell ref="B7:J7"/>
    <mergeCell ref="B17:J17"/>
    <mergeCell ref="B22:J22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8:J18"/>
    <mergeCell ref="B19:J19"/>
    <mergeCell ref="B20:J20"/>
    <mergeCell ref="B21:J21"/>
    <mergeCell ref="C84:H84"/>
    <mergeCell ref="B23:J23"/>
    <mergeCell ref="B24:J24"/>
    <mergeCell ref="B27:J27"/>
    <mergeCell ref="B29:B48"/>
    <mergeCell ref="C81:H81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D47:I47"/>
    <mergeCell ref="D48:I48"/>
    <mergeCell ref="D49:I49"/>
    <mergeCell ref="D50:I50"/>
    <mergeCell ref="D51:I51"/>
    <mergeCell ref="D58:I58"/>
    <mergeCell ref="B49:B68"/>
    <mergeCell ref="D68:I68"/>
    <mergeCell ref="D61:I61"/>
    <mergeCell ref="D62:I62"/>
    <mergeCell ref="D63:I63"/>
    <mergeCell ref="D64:I64"/>
    <mergeCell ref="D65:I65"/>
    <mergeCell ref="D59:I59"/>
    <mergeCell ref="D60:I60"/>
    <mergeCell ref="D66:I66"/>
    <mergeCell ref="D67:I67"/>
    <mergeCell ref="D52:I52"/>
    <mergeCell ref="B76:J76"/>
    <mergeCell ref="B77:J77"/>
    <mergeCell ref="B72:J72"/>
    <mergeCell ref="B73:J73"/>
    <mergeCell ref="B74:J74"/>
    <mergeCell ref="B75:J75"/>
    <mergeCell ref="D57:I57"/>
    <mergeCell ref="D54:I54"/>
    <mergeCell ref="D53:I53"/>
    <mergeCell ref="D55:I55"/>
    <mergeCell ref="D56:I56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Q112"/>
  <sheetViews>
    <sheetView showGridLines="0" view="pageBreakPreview" zoomScale="85" zoomScaleNormal="100" zoomScaleSheetLayoutView="85" workbookViewId="0">
      <selection activeCell="B10" sqref="B10:J10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'02'!B3+1</f>
        <v>46268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1030</v>
      </c>
      <c r="C6" s="774"/>
      <c r="D6" s="774"/>
      <c r="E6" s="774"/>
      <c r="F6" s="774"/>
      <c r="G6" s="774"/>
      <c r="H6" s="774"/>
      <c r="I6" s="774"/>
      <c r="J6" s="775"/>
    </row>
    <row r="7" spans="2:10" ht="37.5" customHeight="1" x14ac:dyDescent="0.3">
      <c r="B7" s="780" t="s">
        <v>1031</v>
      </c>
      <c r="C7" s="781"/>
      <c r="D7" s="781"/>
      <c r="E7" s="781"/>
      <c r="F7" s="781"/>
      <c r="G7" s="781"/>
      <c r="H7" s="781"/>
      <c r="I7" s="781"/>
      <c r="J7" s="782"/>
    </row>
    <row r="8" spans="2:10" ht="15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731" t="s">
        <v>1032</v>
      </c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 t="s">
        <v>1033</v>
      </c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 t="s">
        <v>1034</v>
      </c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1" t="s">
        <v>1035</v>
      </c>
      <c r="C12" s="732"/>
      <c r="D12" s="732"/>
      <c r="E12" s="732"/>
      <c r="F12" s="732"/>
      <c r="G12" s="732"/>
      <c r="H12" s="732"/>
      <c r="I12" s="732"/>
      <c r="J12" s="733"/>
    </row>
    <row r="13" spans="2:10" ht="20.100000000000001" customHeight="1" x14ac:dyDescent="0.3">
      <c r="B13" s="731" t="s">
        <v>1037</v>
      </c>
      <c r="C13" s="732"/>
      <c r="D13" s="732"/>
      <c r="E13" s="732"/>
      <c r="F13" s="732"/>
      <c r="G13" s="732"/>
      <c r="H13" s="732"/>
      <c r="I13" s="732"/>
      <c r="J13" s="733"/>
    </row>
    <row r="14" spans="2:10" ht="30.75" customHeight="1" x14ac:dyDescent="0.3">
      <c r="B14" s="780" t="s">
        <v>1038</v>
      </c>
      <c r="C14" s="781"/>
      <c r="D14" s="781"/>
      <c r="E14" s="781"/>
      <c r="F14" s="781"/>
      <c r="G14" s="781"/>
      <c r="H14" s="781"/>
      <c r="I14" s="781"/>
      <c r="J14" s="782"/>
    </row>
    <row r="15" spans="2:10" ht="20.100000000000001" customHeight="1" x14ac:dyDescent="0.3">
      <c r="B15" s="731"/>
      <c r="C15" s="732"/>
      <c r="D15" s="732"/>
      <c r="E15" s="732"/>
      <c r="F15" s="732"/>
      <c r="G15" s="732"/>
      <c r="H15" s="732"/>
      <c r="I15" s="732"/>
      <c r="J15" s="733"/>
    </row>
    <row r="16" spans="2:10" ht="20.100000000000001" customHeight="1" x14ac:dyDescent="0.3">
      <c r="B16" s="731" t="s">
        <v>1039</v>
      </c>
      <c r="C16" s="732"/>
      <c r="D16" s="732"/>
      <c r="E16" s="732"/>
      <c r="F16" s="732"/>
      <c r="G16" s="732"/>
      <c r="H16" s="732"/>
      <c r="I16" s="732"/>
      <c r="J16" s="733"/>
    </row>
    <row r="17" spans="2:10" ht="20.100000000000001" customHeight="1" x14ac:dyDescent="0.3">
      <c r="B17" s="731" t="s">
        <v>1040</v>
      </c>
      <c r="C17" s="732"/>
      <c r="D17" s="732"/>
      <c r="E17" s="732"/>
      <c r="F17" s="732"/>
      <c r="G17" s="732"/>
      <c r="H17" s="732"/>
      <c r="I17" s="732"/>
      <c r="J17" s="733"/>
    </row>
    <row r="18" spans="2:10" ht="20.100000000000001" customHeight="1" x14ac:dyDescent="0.3">
      <c r="B18" s="731" t="s">
        <v>1041</v>
      </c>
      <c r="C18" s="732"/>
      <c r="D18" s="732"/>
      <c r="E18" s="732"/>
      <c r="F18" s="732"/>
      <c r="G18" s="732"/>
      <c r="H18" s="732"/>
      <c r="I18" s="732"/>
      <c r="J18" s="733"/>
    </row>
    <row r="19" spans="2:10" ht="20.100000000000001" customHeight="1" x14ac:dyDescent="0.3">
      <c r="B19" s="731" t="s">
        <v>1042</v>
      </c>
      <c r="C19" s="732"/>
      <c r="D19" s="732"/>
      <c r="E19" s="732"/>
      <c r="F19" s="732"/>
      <c r="G19" s="732"/>
      <c r="H19" s="732"/>
      <c r="I19" s="732"/>
      <c r="J19" s="733"/>
    </row>
    <row r="20" spans="2:10" ht="20.100000000000001" customHeight="1" x14ac:dyDescent="0.3">
      <c r="B20" s="731" t="s">
        <v>1043</v>
      </c>
      <c r="C20" s="732"/>
      <c r="D20" s="732"/>
      <c r="E20" s="732"/>
      <c r="F20" s="732"/>
      <c r="G20" s="732"/>
      <c r="H20" s="732"/>
      <c r="I20" s="732"/>
      <c r="J20" s="733"/>
    </row>
    <row r="21" spans="2:10" ht="20.100000000000001" customHeight="1" x14ac:dyDescent="0.3">
      <c r="B21" s="731" t="s">
        <v>1044</v>
      </c>
      <c r="C21" s="732"/>
      <c r="D21" s="732"/>
      <c r="E21" s="732"/>
      <c r="F21" s="732"/>
      <c r="G21" s="732"/>
      <c r="H21" s="732"/>
      <c r="I21" s="732"/>
      <c r="J21" s="733"/>
    </row>
    <row r="22" spans="2:10" ht="20.100000000000001" customHeight="1" x14ac:dyDescent="0.3">
      <c r="B22" s="731" t="s">
        <v>1045</v>
      </c>
      <c r="C22" s="732"/>
      <c r="D22" s="732"/>
      <c r="E22" s="732"/>
      <c r="F22" s="732"/>
      <c r="G22" s="732"/>
      <c r="H22" s="732"/>
      <c r="I22" s="732"/>
      <c r="J22" s="733"/>
    </row>
    <row r="23" spans="2:10" ht="20.100000000000001" customHeight="1" x14ac:dyDescent="0.3">
      <c r="B23" s="731" t="s">
        <v>1046</v>
      </c>
      <c r="C23" s="732"/>
      <c r="D23" s="732"/>
      <c r="E23" s="732"/>
      <c r="F23" s="732"/>
      <c r="G23" s="732"/>
      <c r="H23" s="732"/>
      <c r="I23" s="732"/>
      <c r="J23" s="733"/>
    </row>
    <row r="24" spans="2:10" ht="20.100000000000001" customHeight="1" x14ac:dyDescent="0.3">
      <c r="B24" s="731"/>
      <c r="C24" s="732"/>
      <c r="D24" s="732"/>
      <c r="E24" s="732"/>
      <c r="F24" s="732"/>
      <c r="G24" s="732"/>
      <c r="H24" s="732"/>
      <c r="I24" s="732"/>
      <c r="J24" s="733"/>
    </row>
    <row r="25" spans="2:10" ht="20.100000000000001" customHeight="1" x14ac:dyDescent="0.3">
      <c r="B25" s="731" t="s">
        <v>1036</v>
      </c>
      <c r="C25" s="732"/>
      <c r="D25" s="732"/>
      <c r="E25" s="732"/>
      <c r="F25" s="732"/>
      <c r="G25" s="732"/>
      <c r="H25" s="732"/>
      <c r="I25" s="732"/>
      <c r="J25" s="733"/>
    </row>
    <row r="26" spans="2:10" ht="20.100000000000001" customHeight="1" x14ac:dyDescent="0.3">
      <c r="B26" s="734" t="s">
        <v>1047</v>
      </c>
      <c r="C26" s="735"/>
      <c r="D26" s="735"/>
      <c r="E26" s="735"/>
      <c r="F26" s="735"/>
      <c r="G26" s="735"/>
      <c r="H26" s="735"/>
      <c r="I26" s="735"/>
      <c r="J26" s="736"/>
    </row>
    <row r="27" spans="2:10" ht="20.100000000000001" customHeight="1" x14ac:dyDescent="0.3">
      <c r="B27" s="776" t="s">
        <v>1048</v>
      </c>
      <c r="C27" s="735"/>
      <c r="D27" s="735"/>
      <c r="E27" s="735"/>
      <c r="F27" s="735"/>
      <c r="G27" s="735"/>
      <c r="H27" s="735"/>
      <c r="I27" s="735"/>
      <c r="J27" s="736"/>
    </row>
    <row r="28" spans="2:10" ht="20.100000000000001" customHeight="1" x14ac:dyDescent="0.3">
      <c r="B28" s="776" t="s">
        <v>1049</v>
      </c>
      <c r="C28" s="735"/>
      <c r="D28" s="735"/>
      <c r="E28" s="735"/>
      <c r="F28" s="735"/>
      <c r="G28" s="735"/>
      <c r="H28" s="735"/>
      <c r="I28" s="735"/>
      <c r="J28" s="736"/>
    </row>
    <row r="29" spans="2:10" ht="20.100000000000001" customHeight="1" x14ac:dyDescent="0.3">
      <c r="B29" s="731"/>
      <c r="C29" s="732"/>
      <c r="D29" s="732"/>
      <c r="E29" s="732"/>
      <c r="F29" s="732"/>
      <c r="G29" s="732"/>
      <c r="H29" s="732"/>
      <c r="I29" s="732"/>
      <c r="J29" s="733"/>
    </row>
    <row r="30" spans="2:10" ht="7.5" customHeight="1" thickBot="1" x14ac:dyDescent="0.35">
      <c r="B30" s="737"/>
      <c r="C30" s="738"/>
      <c r="D30" s="738"/>
      <c r="E30" s="738"/>
      <c r="F30" s="738"/>
      <c r="G30" s="738"/>
      <c r="H30" s="738"/>
      <c r="I30" s="738"/>
      <c r="J30" s="739"/>
    </row>
    <row r="31" spans="2:10" ht="21.75" customHeight="1" x14ac:dyDescent="0.3">
      <c r="B31" s="16"/>
      <c r="C31" s="16"/>
      <c r="D31" s="16"/>
      <c r="E31" s="16"/>
      <c r="F31" s="16"/>
      <c r="G31" s="16"/>
      <c r="H31" s="16"/>
      <c r="I31" s="16"/>
      <c r="J31" s="16"/>
    </row>
    <row r="32" spans="2:10" ht="23.1" customHeight="1" thickBot="1" x14ac:dyDescent="0.35">
      <c r="B32" s="1" t="s">
        <v>1</v>
      </c>
      <c r="I32" s="2"/>
      <c r="J32" s="24" t="s">
        <v>9</v>
      </c>
    </row>
    <row r="33" spans="2:13" ht="24.95" customHeight="1" thickBot="1" x14ac:dyDescent="0.35">
      <c r="B33" s="740" t="s">
        <v>10</v>
      </c>
      <c r="C33" s="741"/>
      <c r="D33" s="741"/>
      <c r="E33" s="741"/>
      <c r="F33" s="741"/>
      <c r="G33" s="741"/>
      <c r="H33" s="741"/>
      <c r="I33" s="741"/>
      <c r="J33" s="742"/>
      <c r="K33" s="8"/>
    </row>
    <row r="34" spans="2:13" ht="20.100000000000001" customHeight="1" x14ac:dyDescent="0.3">
      <c r="B34" s="3" t="s">
        <v>0</v>
      </c>
      <c r="C34" s="31" t="s">
        <v>11</v>
      </c>
      <c r="D34" s="26" t="s">
        <v>5</v>
      </c>
      <c r="E34" s="27"/>
      <c r="F34" s="27"/>
      <c r="G34" s="27"/>
      <c r="H34" s="27"/>
      <c r="I34" s="28"/>
      <c r="J34" s="32" t="s">
        <v>4</v>
      </c>
      <c r="K34" s="8"/>
    </row>
    <row r="35" spans="2:13" ht="20.100000000000001" customHeight="1" x14ac:dyDescent="0.3">
      <c r="B35" s="743" t="s">
        <v>2</v>
      </c>
      <c r="C35" s="29"/>
      <c r="D35" s="752"/>
      <c r="E35" s="753"/>
      <c r="F35" s="753"/>
      <c r="G35" s="753"/>
      <c r="H35" s="753"/>
      <c r="I35" s="754"/>
      <c r="J35" s="33"/>
      <c r="K35" s="8"/>
    </row>
    <row r="36" spans="2:13" ht="20.100000000000001" customHeight="1" x14ac:dyDescent="0.3">
      <c r="B36" s="743"/>
      <c r="C36" s="22" t="s">
        <v>65</v>
      </c>
      <c r="D36" s="750"/>
      <c r="E36" s="726"/>
      <c r="F36" s="726"/>
      <c r="G36" s="726"/>
      <c r="H36" s="726"/>
      <c r="I36" s="727"/>
      <c r="J36" s="34"/>
      <c r="K36" s="8"/>
    </row>
    <row r="37" spans="2:13" ht="20.100000000000001" customHeight="1" x14ac:dyDescent="0.3">
      <c r="B37" s="743"/>
      <c r="C37" s="21" t="s">
        <v>243</v>
      </c>
      <c r="D37" s="725"/>
      <c r="E37" s="726"/>
      <c r="F37" s="726"/>
      <c r="G37" s="726"/>
      <c r="H37" s="726"/>
      <c r="I37" s="727"/>
      <c r="J37" s="35"/>
      <c r="K37" s="8"/>
    </row>
    <row r="38" spans="2:13" ht="20.100000000000001" customHeight="1" x14ac:dyDescent="0.3">
      <c r="B38" s="743"/>
      <c r="C38" s="67"/>
      <c r="D38" s="751"/>
      <c r="E38" s="748"/>
      <c r="F38" s="748"/>
      <c r="G38" s="748"/>
      <c r="H38" s="748"/>
      <c r="I38" s="749"/>
      <c r="J38" s="36"/>
      <c r="K38" s="8"/>
    </row>
    <row r="39" spans="2:13" ht="20.100000000000001" customHeight="1" x14ac:dyDescent="0.3">
      <c r="B39" s="743"/>
      <c r="C39" s="29"/>
      <c r="D39" s="752"/>
      <c r="E39" s="753"/>
      <c r="F39" s="753"/>
      <c r="G39" s="753"/>
      <c r="H39" s="753"/>
      <c r="I39" s="754"/>
      <c r="J39" s="33"/>
      <c r="K39" s="8"/>
    </row>
    <row r="40" spans="2:13" ht="20.100000000000001" customHeight="1" x14ac:dyDescent="0.3">
      <c r="B40" s="743"/>
      <c r="C40" s="22" t="s">
        <v>47</v>
      </c>
      <c r="D40" s="750"/>
      <c r="E40" s="726"/>
      <c r="F40" s="726"/>
      <c r="G40" s="726"/>
      <c r="H40" s="726"/>
      <c r="I40" s="727"/>
      <c r="J40" s="34"/>
      <c r="K40" s="8"/>
    </row>
    <row r="41" spans="2:13" ht="20.100000000000001" customHeight="1" x14ac:dyDescent="0.3">
      <c r="B41" s="743"/>
      <c r="C41" s="21" t="s">
        <v>375</v>
      </c>
      <c r="D41" s="725"/>
      <c r="E41" s="726"/>
      <c r="F41" s="726"/>
      <c r="G41" s="726"/>
      <c r="H41" s="726"/>
      <c r="I41" s="727"/>
      <c r="J41" s="35"/>
      <c r="K41" s="8"/>
    </row>
    <row r="42" spans="2:13" ht="20.100000000000001" customHeight="1" x14ac:dyDescent="0.3">
      <c r="B42" s="743"/>
      <c r="C42" s="21"/>
      <c r="D42" s="751"/>
      <c r="E42" s="748"/>
      <c r="F42" s="748"/>
      <c r="G42" s="748"/>
      <c r="H42" s="748"/>
      <c r="I42" s="749"/>
      <c r="J42" s="35"/>
      <c r="K42" s="8"/>
      <c r="L42" s="9"/>
    </row>
    <row r="43" spans="2:13" ht="20.100000000000001" customHeight="1" x14ac:dyDescent="0.3">
      <c r="B43" s="743"/>
      <c r="C43" s="29"/>
      <c r="D43" s="752"/>
      <c r="E43" s="753"/>
      <c r="F43" s="753"/>
      <c r="G43" s="753"/>
      <c r="H43" s="753"/>
      <c r="I43" s="754"/>
      <c r="J43" s="33"/>
      <c r="K43" s="8"/>
      <c r="L43" s="9"/>
      <c r="M43" s="9"/>
    </row>
    <row r="44" spans="2:13" ht="20.100000000000001" customHeight="1" x14ac:dyDescent="0.3">
      <c r="B44" s="743"/>
      <c r="C44" s="22" t="s">
        <v>48</v>
      </c>
      <c r="D44" s="750"/>
      <c r="E44" s="726"/>
      <c r="F44" s="726"/>
      <c r="G44" s="726"/>
      <c r="H44" s="726"/>
      <c r="I44" s="727"/>
      <c r="J44" s="34"/>
      <c r="K44" s="8"/>
      <c r="L44" s="9"/>
      <c r="M44" s="9"/>
    </row>
    <row r="45" spans="2:13" ht="20.100000000000001" customHeight="1" x14ac:dyDescent="0.3">
      <c r="B45" s="743"/>
      <c r="C45" s="21" t="s">
        <v>66</v>
      </c>
      <c r="D45" s="725"/>
      <c r="E45" s="726"/>
      <c r="F45" s="726"/>
      <c r="G45" s="726"/>
      <c r="H45" s="726"/>
      <c r="I45" s="727"/>
      <c r="J45" s="35"/>
      <c r="K45" s="8"/>
      <c r="L45" s="9"/>
      <c r="M45" s="9"/>
    </row>
    <row r="46" spans="2:13" ht="20.100000000000001" customHeight="1" x14ac:dyDescent="0.3">
      <c r="B46" s="743"/>
      <c r="C46" s="67"/>
      <c r="D46" s="751"/>
      <c r="E46" s="748"/>
      <c r="F46" s="748"/>
      <c r="G46" s="748"/>
      <c r="H46" s="748"/>
      <c r="I46" s="749"/>
      <c r="J46" s="35"/>
      <c r="K46" s="8"/>
    </row>
    <row r="47" spans="2:13" ht="20.100000000000001" customHeight="1" x14ac:dyDescent="0.3">
      <c r="B47" s="743"/>
      <c r="C47" s="29"/>
      <c r="D47" s="752"/>
      <c r="E47" s="753"/>
      <c r="F47" s="753"/>
      <c r="G47" s="753"/>
      <c r="H47" s="753"/>
      <c r="I47" s="754"/>
      <c r="J47" s="33"/>
      <c r="K47" s="8"/>
    </row>
    <row r="48" spans="2:13" ht="20.100000000000001" customHeight="1" x14ac:dyDescent="0.3">
      <c r="B48" s="743"/>
      <c r="C48" s="22" t="s">
        <v>723</v>
      </c>
      <c r="D48" s="750"/>
      <c r="E48" s="726"/>
      <c r="F48" s="726"/>
      <c r="G48" s="726"/>
      <c r="H48" s="726"/>
      <c r="I48" s="727"/>
      <c r="J48" s="34"/>
      <c r="K48" s="8"/>
    </row>
    <row r="49" spans="1:17" ht="20.100000000000001" customHeight="1" x14ac:dyDescent="0.3">
      <c r="B49" s="743"/>
      <c r="C49" s="21" t="s">
        <v>951</v>
      </c>
      <c r="D49" s="725"/>
      <c r="E49" s="726"/>
      <c r="F49" s="726"/>
      <c r="G49" s="726"/>
      <c r="H49" s="726"/>
      <c r="I49" s="727"/>
      <c r="J49" s="35"/>
      <c r="K49" s="8"/>
    </row>
    <row r="50" spans="1:17" ht="20.100000000000001" customHeight="1" x14ac:dyDescent="0.3">
      <c r="B50" s="743"/>
      <c r="C50" s="67"/>
      <c r="D50" s="751"/>
      <c r="E50" s="748"/>
      <c r="F50" s="748"/>
      <c r="G50" s="748"/>
      <c r="H50" s="748"/>
      <c r="I50" s="749"/>
      <c r="J50" s="35"/>
      <c r="K50" s="8"/>
    </row>
    <row r="51" spans="1:17" ht="20.100000000000001" customHeight="1" x14ac:dyDescent="0.3">
      <c r="B51" s="743"/>
      <c r="C51" s="29"/>
      <c r="D51" s="752"/>
      <c r="E51" s="753"/>
      <c r="F51" s="753"/>
      <c r="G51" s="753"/>
      <c r="H51" s="753"/>
      <c r="I51" s="754"/>
      <c r="J51" s="33"/>
      <c r="K51" s="8"/>
    </row>
    <row r="52" spans="1:17" ht="20.100000000000001" customHeight="1" x14ac:dyDescent="0.3">
      <c r="B52" s="743"/>
      <c r="C52" s="69" t="s">
        <v>49</v>
      </c>
      <c r="D52" s="750"/>
      <c r="E52" s="726"/>
      <c r="F52" s="726"/>
      <c r="G52" s="726"/>
      <c r="H52" s="726"/>
      <c r="I52" s="727"/>
      <c r="J52" s="34"/>
      <c r="K52" s="8"/>
    </row>
    <row r="53" spans="1:17" ht="20.100000000000001" customHeight="1" x14ac:dyDescent="0.3">
      <c r="B53" s="743"/>
      <c r="C53" s="21"/>
      <c r="D53" s="725"/>
      <c r="E53" s="726"/>
      <c r="F53" s="726"/>
      <c r="G53" s="726"/>
      <c r="H53" s="726"/>
      <c r="I53" s="727"/>
      <c r="J53" s="35"/>
      <c r="K53" s="8"/>
    </row>
    <row r="54" spans="1:17" ht="20.100000000000001" customHeight="1" x14ac:dyDescent="0.3">
      <c r="B54" s="744"/>
      <c r="C54" s="67"/>
      <c r="D54" s="751"/>
      <c r="E54" s="748"/>
      <c r="F54" s="748"/>
      <c r="G54" s="748"/>
      <c r="H54" s="748"/>
      <c r="I54" s="749"/>
      <c r="J54" s="35"/>
      <c r="K54" s="8"/>
    </row>
    <row r="55" spans="1:17" ht="20.100000000000001" customHeight="1" x14ac:dyDescent="0.3">
      <c r="B55" s="745" t="s">
        <v>50</v>
      </c>
      <c r="C55" s="68" t="s">
        <v>3</v>
      </c>
      <c r="D55" s="752" t="s">
        <v>1054</v>
      </c>
      <c r="E55" s="753"/>
      <c r="F55" s="753"/>
      <c r="G55" s="753"/>
      <c r="H55" s="753"/>
      <c r="I55" s="754"/>
      <c r="J55" s="33" t="s">
        <v>1056</v>
      </c>
      <c r="K55" s="8"/>
    </row>
    <row r="56" spans="1:17" ht="20.100000000000001" customHeight="1" x14ac:dyDescent="0.3">
      <c r="B56" s="743"/>
      <c r="C56" s="20">
        <v>3</v>
      </c>
      <c r="D56" s="750" t="s">
        <v>1055</v>
      </c>
      <c r="E56" s="726"/>
      <c r="F56" s="726"/>
      <c r="G56" s="726"/>
      <c r="H56" s="726"/>
      <c r="I56" s="727"/>
      <c r="J56" s="34" t="s">
        <v>1057</v>
      </c>
      <c r="K56" s="8"/>
    </row>
    <row r="57" spans="1:17" ht="20.100000000000001" customHeight="1" x14ac:dyDescent="0.3">
      <c r="B57" s="743"/>
      <c r="C57" s="21" t="str">
        <f>IF(C56=1,"[조용환+]",IF(C56=2,"[한만석+]",IF(C56=3,"[남정현+]",IF(C56=4,"[김광표+]","???"))))</f>
        <v>[남정현+]</v>
      </c>
      <c r="D57" s="725" t="s">
        <v>1058</v>
      </c>
      <c r="E57" s="726"/>
      <c r="F57" s="726"/>
      <c r="G57" s="726"/>
      <c r="H57" s="726"/>
      <c r="I57" s="727"/>
      <c r="J57" s="35"/>
      <c r="K57" s="8"/>
    </row>
    <row r="58" spans="1:17" ht="20.100000000000001" customHeight="1" x14ac:dyDescent="0.3">
      <c r="B58" s="743"/>
      <c r="C58" s="521"/>
      <c r="D58" s="725" t="s">
        <v>1072</v>
      </c>
      <c r="E58" s="783"/>
      <c r="F58" s="783"/>
      <c r="G58" s="783"/>
      <c r="H58" s="783"/>
      <c r="I58" s="784"/>
      <c r="J58" s="35"/>
      <c r="K58" s="8"/>
    </row>
    <row r="59" spans="1:17" ht="20.100000000000001" customHeight="1" x14ac:dyDescent="0.3">
      <c r="B59" s="743"/>
      <c r="C59" s="521"/>
      <c r="D59" s="725" t="s">
        <v>1073</v>
      </c>
      <c r="E59" s="726"/>
      <c r="F59" s="726"/>
      <c r="G59" s="726"/>
      <c r="H59" s="726"/>
      <c r="I59" s="727"/>
      <c r="J59" s="35"/>
      <c r="K59" s="8"/>
    </row>
    <row r="60" spans="1:17" ht="20.100000000000001" customHeight="1" x14ac:dyDescent="0.3">
      <c r="B60" s="743"/>
      <c r="C60" s="521"/>
      <c r="D60" s="725" t="s">
        <v>1059</v>
      </c>
      <c r="E60" s="726"/>
      <c r="F60" s="726"/>
      <c r="G60" s="726"/>
      <c r="H60" s="726"/>
      <c r="I60" s="727"/>
      <c r="J60" s="35"/>
      <c r="K60" s="8"/>
    </row>
    <row r="61" spans="1:17" ht="20.100000000000001" customHeight="1" x14ac:dyDescent="0.3">
      <c r="B61" s="743"/>
      <c r="C61" s="521"/>
      <c r="D61" s="725" t="s">
        <v>1060</v>
      </c>
      <c r="E61" s="726"/>
      <c r="F61" s="726"/>
      <c r="G61" s="726"/>
      <c r="H61" s="726"/>
      <c r="I61" s="727"/>
      <c r="J61" s="35"/>
      <c r="K61" s="8"/>
    </row>
    <row r="62" spans="1:17" ht="20.100000000000001" customHeight="1" x14ac:dyDescent="0.3">
      <c r="B62" s="743"/>
      <c r="C62" s="13"/>
      <c r="D62" s="725" t="s">
        <v>1061</v>
      </c>
      <c r="E62" s="726"/>
      <c r="F62" s="726"/>
      <c r="G62" s="726"/>
      <c r="H62" s="726"/>
      <c r="I62" s="727"/>
      <c r="J62" s="35"/>
      <c r="K62" s="8"/>
    </row>
    <row r="63" spans="1:17" ht="20.100000000000001" customHeight="1" x14ac:dyDescent="0.3">
      <c r="A63" s="13"/>
      <c r="B63" s="743"/>
      <c r="C63" s="13"/>
      <c r="D63" s="725" t="s">
        <v>1062</v>
      </c>
      <c r="E63" s="726"/>
      <c r="F63" s="726"/>
      <c r="G63" s="726"/>
      <c r="H63" s="726"/>
      <c r="I63" s="727"/>
      <c r="J63" s="35"/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743"/>
      <c r="C64" s="13"/>
      <c r="D64" s="725"/>
      <c r="E64" s="726"/>
      <c r="F64" s="726"/>
      <c r="G64" s="726"/>
      <c r="H64" s="726"/>
      <c r="I64" s="727"/>
      <c r="J64" s="35"/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13"/>
      <c r="B65" s="743"/>
      <c r="C65" s="19"/>
      <c r="D65" s="747"/>
      <c r="E65" s="748"/>
      <c r="F65" s="748"/>
      <c r="G65" s="748"/>
      <c r="H65" s="748"/>
      <c r="I65" s="749"/>
      <c r="J65" s="36"/>
      <c r="K65" s="8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13"/>
      <c r="B66" s="743"/>
      <c r="C66" s="22" t="s">
        <v>8</v>
      </c>
      <c r="D66" s="752" t="s">
        <v>1074</v>
      </c>
      <c r="E66" s="753"/>
      <c r="F66" s="753"/>
      <c r="G66" s="753"/>
      <c r="H66" s="753"/>
      <c r="I66" s="754"/>
      <c r="J66" s="33"/>
      <c r="K66" s="8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13"/>
      <c r="B67" s="743"/>
      <c r="C67" s="20">
        <v>4</v>
      </c>
      <c r="D67" s="750" t="s">
        <v>1075</v>
      </c>
      <c r="E67" s="726"/>
      <c r="F67" s="726"/>
      <c r="G67" s="726"/>
      <c r="H67" s="726"/>
      <c r="I67" s="727"/>
      <c r="J67" s="34"/>
      <c r="K67" s="8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13"/>
      <c r="B68" s="743"/>
      <c r="C68" s="21" t="str">
        <f>IF(C67=1,"[조용환+]",IF(C67=2,"[한만석+]",IF(C67=3,"[남정현+]",IF(C67=4,"[김광표+]","???"))))</f>
        <v>[김광표+]</v>
      </c>
      <c r="D68" s="725" t="s">
        <v>1076</v>
      </c>
      <c r="E68" s="726"/>
      <c r="F68" s="726"/>
      <c r="G68" s="726"/>
      <c r="H68" s="726"/>
      <c r="I68" s="727"/>
      <c r="J68" s="35"/>
      <c r="K68" s="8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13"/>
      <c r="B69" s="743"/>
      <c r="C69" s="13"/>
      <c r="D69" s="725" t="s">
        <v>1079</v>
      </c>
      <c r="E69" s="726"/>
      <c r="F69" s="726"/>
      <c r="G69" s="726"/>
      <c r="H69" s="726"/>
      <c r="I69" s="727"/>
      <c r="J69" s="35"/>
      <c r="K69" s="8"/>
      <c r="L69" s="10"/>
      <c r="M69" s="10"/>
      <c r="N69" s="10"/>
      <c r="O69" s="10"/>
      <c r="P69" s="10"/>
      <c r="Q69" s="10"/>
    </row>
    <row r="70" spans="1:17" ht="20.100000000000001" customHeight="1" x14ac:dyDescent="0.3">
      <c r="A70" s="13"/>
      <c r="B70" s="743"/>
      <c r="C70" s="13"/>
      <c r="D70" s="725" t="s">
        <v>1077</v>
      </c>
      <c r="E70" s="726"/>
      <c r="F70" s="726"/>
      <c r="G70" s="726"/>
      <c r="H70" s="726"/>
      <c r="I70" s="727"/>
      <c r="J70" s="35"/>
      <c r="K70" s="8"/>
      <c r="L70" s="10"/>
      <c r="M70" s="10"/>
      <c r="N70" s="10"/>
      <c r="O70" s="10"/>
      <c r="P70" s="10"/>
      <c r="Q70" s="10"/>
    </row>
    <row r="71" spans="1:17" ht="20.100000000000001" customHeight="1" x14ac:dyDescent="0.3">
      <c r="A71" s="13"/>
      <c r="B71" s="743"/>
      <c r="C71" s="13"/>
      <c r="D71" s="725" t="s">
        <v>1078</v>
      </c>
      <c r="E71" s="726"/>
      <c r="F71" s="726"/>
      <c r="G71" s="726"/>
      <c r="H71" s="726"/>
      <c r="I71" s="727"/>
      <c r="J71" s="35"/>
      <c r="K71" s="8"/>
      <c r="L71" s="10"/>
      <c r="M71" s="10"/>
      <c r="N71" s="10"/>
      <c r="O71" s="10"/>
      <c r="P71" s="10"/>
      <c r="Q71" s="10"/>
    </row>
    <row r="72" spans="1:17" ht="20.100000000000001" customHeight="1" thickBot="1" x14ac:dyDescent="0.35">
      <c r="A72" s="13"/>
      <c r="B72" s="746"/>
      <c r="C72" s="25"/>
      <c r="D72" s="761"/>
      <c r="E72" s="762"/>
      <c r="F72" s="762"/>
      <c r="G72" s="762"/>
      <c r="H72" s="762"/>
      <c r="I72" s="763"/>
      <c r="J72" s="37"/>
      <c r="K72" s="8"/>
      <c r="L72" s="10"/>
      <c r="M72" s="10"/>
      <c r="N72" s="10"/>
      <c r="O72" s="10"/>
      <c r="P72" s="10"/>
      <c r="Q72" s="10"/>
    </row>
    <row r="73" spans="1:17" ht="20.100000000000001" customHeight="1" x14ac:dyDescent="0.3">
      <c r="A73" s="13"/>
      <c r="B73" s="23" t="s">
        <v>12</v>
      </c>
      <c r="C73" s="17"/>
      <c r="D73" s="17"/>
      <c r="E73" s="17"/>
      <c r="F73" s="17"/>
      <c r="G73" s="17"/>
      <c r="H73" s="17"/>
      <c r="I73" s="17"/>
      <c r="J73" s="17"/>
      <c r="K73" s="8"/>
      <c r="L73" s="10"/>
      <c r="M73" s="10"/>
      <c r="N73" s="10"/>
      <c r="O73" s="10"/>
      <c r="P73" s="10"/>
      <c r="Q73" s="10"/>
    </row>
    <row r="74" spans="1:17" ht="6" customHeight="1" x14ac:dyDescent="0.3">
      <c r="A74" s="13"/>
      <c r="B74" s="17"/>
      <c r="C74" s="17"/>
      <c r="D74" s="17"/>
      <c r="E74" s="17"/>
      <c r="F74" s="17"/>
      <c r="G74" s="17"/>
      <c r="H74" s="17"/>
      <c r="I74" s="17"/>
      <c r="J74" s="17"/>
      <c r="K74" s="8"/>
      <c r="L74" s="10"/>
      <c r="M74" s="10"/>
      <c r="N74" s="10"/>
      <c r="O74" s="10"/>
      <c r="P74" s="10"/>
      <c r="Q74" s="10"/>
    </row>
    <row r="75" spans="1:17" ht="18.75" customHeight="1" thickBot="1" x14ac:dyDescent="0.35">
      <c r="B75" s="1" t="s">
        <v>7</v>
      </c>
      <c r="C75" s="17"/>
      <c r="D75" s="17"/>
      <c r="E75" s="17"/>
      <c r="F75" s="17"/>
      <c r="G75" s="17"/>
      <c r="H75" s="17"/>
      <c r="I75" s="17"/>
      <c r="J75" s="18"/>
      <c r="K75" s="8"/>
      <c r="L75" s="10"/>
      <c r="M75" s="10"/>
      <c r="N75" s="10"/>
      <c r="O75" s="10"/>
      <c r="P75" s="10"/>
      <c r="Q75" s="10"/>
    </row>
    <row r="76" spans="1:17" ht="20.100000000000001" customHeight="1" x14ac:dyDescent="0.3">
      <c r="A76" s="38"/>
      <c r="B76" s="764" t="s">
        <v>1029</v>
      </c>
      <c r="C76" s="765"/>
      <c r="D76" s="765"/>
      <c r="E76" s="765"/>
      <c r="F76" s="765"/>
      <c r="G76" s="765"/>
      <c r="H76" s="765"/>
      <c r="I76" s="765"/>
      <c r="J76" s="766"/>
      <c r="K76" s="39"/>
      <c r="L76" s="10"/>
      <c r="M76" s="10"/>
      <c r="N76" s="10"/>
      <c r="O76" s="10"/>
      <c r="P76" s="10"/>
      <c r="Q76" s="10"/>
    </row>
    <row r="77" spans="1:17" ht="20.100000000000001" customHeight="1" x14ac:dyDescent="0.3">
      <c r="A77" s="38"/>
      <c r="B77" s="767" t="s">
        <v>965</v>
      </c>
      <c r="C77" s="768"/>
      <c r="D77" s="768"/>
      <c r="E77" s="768"/>
      <c r="F77" s="768"/>
      <c r="G77" s="768"/>
      <c r="H77" s="768"/>
      <c r="I77" s="768"/>
      <c r="J77" s="769"/>
      <c r="K77" s="39"/>
      <c r="L77" s="10"/>
      <c r="M77" s="10"/>
      <c r="N77" s="10"/>
      <c r="O77" s="10"/>
      <c r="P77" s="10"/>
      <c r="Q77" s="10"/>
    </row>
    <row r="78" spans="1:17" ht="20.100000000000001" customHeight="1" x14ac:dyDescent="0.3">
      <c r="A78" s="38"/>
      <c r="B78" s="755"/>
      <c r="C78" s="756"/>
      <c r="D78" s="756"/>
      <c r="E78" s="756"/>
      <c r="F78" s="756"/>
      <c r="G78" s="756"/>
      <c r="H78" s="756"/>
      <c r="I78" s="756"/>
      <c r="J78" s="757"/>
      <c r="K78" s="39"/>
      <c r="L78" s="10"/>
      <c r="M78" s="10"/>
      <c r="N78" s="10"/>
      <c r="O78" s="10"/>
      <c r="P78" s="10"/>
      <c r="Q78" s="10"/>
    </row>
    <row r="79" spans="1:17" ht="20.100000000000001" customHeight="1" x14ac:dyDescent="0.3">
      <c r="A79" s="38"/>
      <c r="B79" s="755"/>
      <c r="C79" s="756"/>
      <c r="D79" s="756"/>
      <c r="E79" s="756"/>
      <c r="F79" s="756"/>
      <c r="G79" s="756"/>
      <c r="H79" s="756"/>
      <c r="I79" s="756"/>
      <c r="J79" s="757"/>
      <c r="K79" s="39"/>
      <c r="L79" s="10"/>
      <c r="M79" s="10"/>
      <c r="N79" s="10"/>
      <c r="O79" s="10"/>
      <c r="P79" s="10"/>
      <c r="Q79" s="10"/>
    </row>
    <row r="80" spans="1:17" ht="20.100000000000001" customHeight="1" x14ac:dyDescent="0.3">
      <c r="A80" s="38"/>
      <c r="B80" s="755"/>
      <c r="C80" s="756"/>
      <c r="D80" s="756"/>
      <c r="E80" s="756"/>
      <c r="F80" s="756"/>
      <c r="G80" s="756"/>
      <c r="H80" s="756"/>
      <c r="I80" s="756"/>
      <c r="J80" s="757"/>
      <c r="K80" s="38"/>
    </row>
    <row r="81" spans="1:11" ht="20.100000000000001" customHeight="1" thickBot="1" x14ac:dyDescent="0.35">
      <c r="A81" s="38"/>
      <c r="B81" s="758"/>
      <c r="C81" s="759"/>
      <c r="D81" s="759"/>
      <c r="E81" s="759"/>
      <c r="F81" s="759"/>
      <c r="G81" s="759"/>
      <c r="H81" s="759"/>
      <c r="I81" s="759"/>
      <c r="J81" s="760"/>
      <c r="K81" s="38"/>
    </row>
    <row r="82" spans="1:11" ht="5.25" customHeight="1" x14ac:dyDescent="0.3">
      <c r="B82" s="11"/>
      <c r="C82" s="11"/>
      <c r="D82" s="11"/>
      <c r="E82" s="11"/>
      <c r="F82" s="11"/>
      <c r="G82" s="11"/>
      <c r="H82" s="11"/>
      <c r="I82" s="11"/>
      <c r="J82" s="11"/>
    </row>
    <row r="83" spans="1:11" ht="24.95" customHeight="1" x14ac:dyDescent="0.3">
      <c r="B83" s="12"/>
      <c r="C83" s="12"/>
      <c r="D83" s="12"/>
      <c r="E83" s="12"/>
      <c r="F83" s="12"/>
      <c r="G83" s="12"/>
      <c r="H83" s="12"/>
      <c r="I83" s="12"/>
      <c r="J83" s="12"/>
    </row>
    <row r="84" spans="1:11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1:11" ht="24.95" customHeight="1" x14ac:dyDescent="0.3">
      <c r="B85" s="13"/>
      <c r="C85" s="770"/>
      <c r="D85" s="770"/>
      <c r="E85" s="770"/>
      <c r="F85" s="770"/>
      <c r="G85" s="770"/>
      <c r="H85" s="770"/>
      <c r="I85" s="13"/>
      <c r="J85" s="13"/>
    </row>
    <row r="86" spans="1:11" ht="24.95" customHeight="1" x14ac:dyDescent="0.3">
      <c r="B86" s="13"/>
      <c r="C86" s="14"/>
      <c r="D86" s="14"/>
      <c r="E86" s="14"/>
      <c r="F86" s="14"/>
      <c r="G86" s="14"/>
      <c r="H86" s="14"/>
      <c r="I86" s="13"/>
      <c r="J86" s="13"/>
    </row>
    <row r="87" spans="1:11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1:11" ht="24.95" customHeight="1" x14ac:dyDescent="0.3">
      <c r="B88" s="13"/>
      <c r="C88" s="770"/>
      <c r="D88" s="770"/>
      <c r="E88" s="770"/>
      <c r="F88" s="770"/>
      <c r="G88" s="770"/>
      <c r="H88" s="770"/>
      <c r="I88" s="13"/>
      <c r="J88" s="13"/>
    </row>
    <row r="89" spans="1:11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1:11" ht="24.95" customHeight="1" x14ac:dyDescent="0.3">
      <c r="B90" s="13"/>
      <c r="C90" s="13"/>
      <c r="D90" s="13"/>
      <c r="E90" s="14"/>
      <c r="F90" s="14"/>
      <c r="G90" s="14"/>
      <c r="H90" s="14"/>
      <c r="I90" s="14"/>
      <c r="J90" s="14"/>
    </row>
    <row r="91" spans="1:11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1:11" ht="24.95" customHeight="1" x14ac:dyDescent="0.3">
      <c r="B92" s="13"/>
      <c r="C92" s="13"/>
      <c r="D92" s="14"/>
      <c r="E92" s="14"/>
      <c r="F92" s="14"/>
      <c r="G92" s="14"/>
      <c r="H92" s="14"/>
      <c r="I92" s="14"/>
      <c r="J92" s="13"/>
    </row>
    <row r="93" spans="1:11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1:11" ht="24.95" customHeight="1" x14ac:dyDescent="0.3">
      <c r="B94" s="13"/>
      <c r="C94" s="13"/>
      <c r="D94" s="14"/>
      <c r="E94" s="14"/>
      <c r="F94" s="14"/>
      <c r="G94" s="14"/>
      <c r="H94" s="14"/>
      <c r="I94" s="14"/>
      <c r="J94" s="13"/>
    </row>
    <row r="95" spans="1:11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1:11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3"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2:10" x14ac:dyDescent="0.3"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2:10" x14ac:dyDescent="0.3"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2:10" x14ac:dyDescent="0.3"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2:10" x14ac:dyDescent="0.3"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2:10" x14ac:dyDescent="0.3"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2:10" x14ac:dyDescent="0.3"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2:10" x14ac:dyDescent="0.3">
      <c r="B112" s="13"/>
      <c r="C112" s="13"/>
      <c r="D112" s="13"/>
      <c r="E112" s="13"/>
      <c r="F112" s="13"/>
      <c r="G112" s="13"/>
      <c r="H112" s="13"/>
      <c r="I112" s="13"/>
      <c r="J112" s="13"/>
    </row>
  </sheetData>
  <mergeCells count="76">
    <mergeCell ref="B21:J21"/>
    <mergeCell ref="B16:J16"/>
    <mergeCell ref="B17:J17"/>
    <mergeCell ref="B18:J18"/>
    <mergeCell ref="B19:J19"/>
    <mergeCell ref="B20:J20"/>
    <mergeCell ref="C88:H88"/>
    <mergeCell ref="B27:J27"/>
    <mergeCell ref="B28:J28"/>
    <mergeCell ref="B29:J29"/>
    <mergeCell ref="C85:H85"/>
    <mergeCell ref="D38:I38"/>
    <mergeCell ref="D39:I39"/>
    <mergeCell ref="D40:I40"/>
    <mergeCell ref="D41:I41"/>
    <mergeCell ref="D42:I42"/>
    <mergeCell ref="D43:I43"/>
    <mergeCell ref="D44:I44"/>
    <mergeCell ref="D45:I45"/>
    <mergeCell ref="D46:I46"/>
    <mergeCell ref="B80:J80"/>
    <mergeCell ref="B81:J81"/>
    <mergeCell ref="B2:J2"/>
    <mergeCell ref="B3:H3"/>
    <mergeCell ref="B6:J6"/>
    <mergeCell ref="B7:J7"/>
    <mergeCell ref="B25:J25"/>
    <mergeCell ref="B8:J8"/>
    <mergeCell ref="B9:J9"/>
    <mergeCell ref="B10:J10"/>
    <mergeCell ref="B11:J11"/>
    <mergeCell ref="B12:J12"/>
    <mergeCell ref="B13:J13"/>
    <mergeCell ref="B14:J14"/>
    <mergeCell ref="B15:J15"/>
    <mergeCell ref="B22:J22"/>
    <mergeCell ref="B24:J24"/>
    <mergeCell ref="B23:J23"/>
    <mergeCell ref="B26:J26"/>
    <mergeCell ref="D35:I35"/>
    <mergeCell ref="D36:I36"/>
    <mergeCell ref="D37:I37"/>
    <mergeCell ref="B30:J30"/>
    <mergeCell ref="B33:J33"/>
    <mergeCell ref="B35:B54"/>
    <mergeCell ref="D47:I47"/>
    <mergeCell ref="D48:I48"/>
    <mergeCell ref="D49:I49"/>
    <mergeCell ref="D50:I50"/>
    <mergeCell ref="D51:I51"/>
    <mergeCell ref="D52:I52"/>
    <mergeCell ref="D53:I53"/>
    <mergeCell ref="D54:I54"/>
    <mergeCell ref="D64:I64"/>
    <mergeCell ref="D70:I70"/>
    <mergeCell ref="D71:I71"/>
    <mergeCell ref="B55:B72"/>
    <mergeCell ref="D57:I57"/>
    <mergeCell ref="D62:I62"/>
    <mergeCell ref="D65:I65"/>
    <mergeCell ref="D63:I63"/>
    <mergeCell ref="D55:I55"/>
    <mergeCell ref="D56:I56"/>
    <mergeCell ref="D58:I58"/>
    <mergeCell ref="D59:I59"/>
    <mergeCell ref="D60:I60"/>
    <mergeCell ref="D61:I61"/>
    <mergeCell ref="B79:J79"/>
    <mergeCell ref="D66:I66"/>
    <mergeCell ref="D67:I67"/>
    <mergeCell ref="D68:I68"/>
    <mergeCell ref="D69:I69"/>
    <mergeCell ref="D72:I72"/>
    <mergeCell ref="B76:J76"/>
    <mergeCell ref="B77:J77"/>
    <mergeCell ref="B78:J78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47" fitToHeight="99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Q100"/>
  <sheetViews>
    <sheetView showGridLines="0" view="pageBreakPreview" zoomScale="85" zoomScaleNormal="100" zoomScaleSheetLayoutView="85" workbookViewId="0">
      <selection activeCell="B8" sqref="B8:J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'03'!B3+1</f>
        <v>46269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1084</v>
      </c>
      <c r="C6" s="774"/>
      <c r="D6" s="774"/>
      <c r="E6" s="774"/>
      <c r="F6" s="774"/>
      <c r="G6" s="774"/>
      <c r="H6" s="774"/>
      <c r="I6" s="774"/>
      <c r="J6" s="775"/>
    </row>
    <row r="7" spans="2:10" ht="31.5" customHeight="1" x14ac:dyDescent="0.3">
      <c r="B7" s="780" t="s">
        <v>1085</v>
      </c>
      <c r="C7" s="781"/>
      <c r="D7" s="781"/>
      <c r="E7" s="781"/>
      <c r="F7" s="781"/>
      <c r="G7" s="781"/>
      <c r="H7" s="781"/>
      <c r="I7" s="781"/>
      <c r="J7" s="782"/>
    </row>
    <row r="8" spans="2:10" ht="20.100000000000001" customHeight="1" x14ac:dyDescent="0.3">
      <c r="B8" s="731" t="s">
        <v>1086</v>
      </c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731" t="s">
        <v>1087</v>
      </c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 t="s">
        <v>1088</v>
      </c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/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1" t="s">
        <v>1089</v>
      </c>
      <c r="C12" s="732"/>
      <c r="D12" s="732"/>
      <c r="E12" s="732"/>
      <c r="F12" s="732"/>
      <c r="G12" s="732"/>
      <c r="H12" s="732"/>
      <c r="I12" s="732"/>
      <c r="J12" s="733"/>
    </row>
    <row r="13" spans="2:10" ht="30.75" customHeight="1" x14ac:dyDescent="0.3">
      <c r="B13" s="780" t="s">
        <v>1090</v>
      </c>
      <c r="C13" s="781"/>
      <c r="D13" s="781"/>
      <c r="E13" s="781"/>
      <c r="F13" s="781"/>
      <c r="G13" s="781"/>
      <c r="H13" s="781"/>
      <c r="I13" s="781"/>
      <c r="J13" s="782"/>
    </row>
    <row r="14" spans="2:10" ht="20.100000000000001" customHeight="1" x14ac:dyDescent="0.3">
      <c r="B14" s="776" t="s">
        <v>1091</v>
      </c>
      <c r="C14" s="735"/>
      <c r="D14" s="735"/>
      <c r="E14" s="735"/>
      <c r="F14" s="735"/>
      <c r="G14" s="735"/>
      <c r="H14" s="735"/>
      <c r="I14" s="735"/>
      <c r="J14" s="736"/>
    </row>
    <row r="15" spans="2:10" ht="20.100000000000001" customHeight="1" x14ac:dyDescent="0.3">
      <c r="B15" s="776" t="s">
        <v>1092</v>
      </c>
      <c r="C15" s="735"/>
      <c r="D15" s="735"/>
      <c r="E15" s="735"/>
      <c r="F15" s="735"/>
      <c r="G15" s="735"/>
      <c r="H15" s="735"/>
      <c r="I15" s="735"/>
      <c r="J15" s="736"/>
    </row>
    <row r="16" spans="2:10" ht="20.100000000000001" customHeight="1" x14ac:dyDescent="0.3">
      <c r="B16" s="731"/>
      <c r="C16" s="732"/>
      <c r="D16" s="732"/>
      <c r="E16" s="732"/>
      <c r="F16" s="732"/>
      <c r="G16" s="732"/>
      <c r="H16" s="732"/>
      <c r="I16" s="732"/>
      <c r="J16" s="733"/>
    </row>
    <row r="17" spans="2:13" ht="7.5" customHeight="1" thickBot="1" x14ac:dyDescent="0.35">
      <c r="B17" s="737"/>
      <c r="C17" s="738"/>
      <c r="D17" s="738"/>
      <c r="E17" s="738"/>
      <c r="F17" s="738"/>
      <c r="G17" s="738"/>
      <c r="H17" s="738"/>
      <c r="I17" s="738"/>
      <c r="J17" s="739"/>
    </row>
    <row r="18" spans="2:13" ht="21.75" customHeight="1" x14ac:dyDescent="0.3">
      <c r="B18" s="16"/>
      <c r="C18" s="16"/>
      <c r="D18" s="16"/>
      <c r="E18" s="16"/>
      <c r="F18" s="16"/>
      <c r="G18" s="16"/>
      <c r="H18" s="16"/>
      <c r="I18" s="16"/>
      <c r="J18" s="16"/>
    </row>
    <row r="19" spans="2:13" ht="23.1" customHeight="1" thickBot="1" x14ac:dyDescent="0.35">
      <c r="B19" s="1" t="s">
        <v>1</v>
      </c>
      <c r="I19" s="2"/>
      <c r="J19" s="24" t="s">
        <v>9</v>
      </c>
    </row>
    <row r="20" spans="2:13" ht="24.95" customHeight="1" thickBot="1" x14ac:dyDescent="0.35">
      <c r="B20" s="740" t="s">
        <v>10</v>
      </c>
      <c r="C20" s="741"/>
      <c r="D20" s="741"/>
      <c r="E20" s="741"/>
      <c r="F20" s="741"/>
      <c r="G20" s="741"/>
      <c r="H20" s="741"/>
      <c r="I20" s="741"/>
      <c r="J20" s="742"/>
      <c r="K20" s="8"/>
    </row>
    <row r="21" spans="2:13" ht="20.100000000000001" customHeight="1" x14ac:dyDescent="0.3">
      <c r="B21" s="3" t="s">
        <v>0</v>
      </c>
      <c r="C21" s="31" t="s">
        <v>11</v>
      </c>
      <c r="D21" s="26" t="s">
        <v>5</v>
      </c>
      <c r="E21" s="27"/>
      <c r="F21" s="27"/>
      <c r="G21" s="27"/>
      <c r="H21" s="27"/>
      <c r="I21" s="28"/>
      <c r="J21" s="32" t="s">
        <v>4</v>
      </c>
      <c r="K21" s="8"/>
    </row>
    <row r="22" spans="2:13" ht="20.100000000000001" customHeight="1" x14ac:dyDescent="0.3">
      <c r="B22" s="743" t="s">
        <v>2</v>
      </c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65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243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67"/>
      <c r="D25" s="751"/>
      <c r="E25" s="748"/>
      <c r="F25" s="748"/>
      <c r="G25" s="748"/>
      <c r="H25" s="748"/>
      <c r="I25" s="749"/>
      <c r="J25" s="36"/>
      <c r="K25" s="8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</row>
    <row r="27" spans="2:13" ht="20.100000000000001" customHeight="1" x14ac:dyDescent="0.3">
      <c r="B27" s="743"/>
      <c r="C27" s="22" t="s">
        <v>47</v>
      </c>
      <c r="D27" s="750"/>
      <c r="E27" s="726"/>
      <c r="F27" s="726"/>
      <c r="G27" s="726"/>
      <c r="H27" s="726"/>
      <c r="I27" s="727"/>
      <c r="J27" s="34"/>
      <c r="K27" s="8"/>
    </row>
    <row r="28" spans="2:13" ht="20.100000000000001" customHeight="1" x14ac:dyDescent="0.3">
      <c r="B28" s="743"/>
      <c r="C28" s="21" t="s">
        <v>375</v>
      </c>
      <c r="D28" s="725"/>
      <c r="E28" s="726"/>
      <c r="F28" s="726"/>
      <c r="G28" s="726"/>
      <c r="H28" s="726"/>
      <c r="I28" s="727"/>
      <c r="J28" s="35"/>
      <c r="K28" s="8"/>
    </row>
    <row r="29" spans="2:13" ht="20.100000000000001" customHeight="1" x14ac:dyDescent="0.3">
      <c r="B29" s="743"/>
      <c r="C29" s="21"/>
      <c r="D29" s="751"/>
      <c r="E29" s="748"/>
      <c r="F29" s="748"/>
      <c r="G29" s="748"/>
      <c r="H29" s="748"/>
      <c r="I29" s="749"/>
      <c r="J29" s="35"/>
      <c r="K29" s="8"/>
      <c r="L29" s="9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  <c r="L30" s="9"/>
      <c r="M30" s="9"/>
    </row>
    <row r="31" spans="2:13" ht="20.100000000000001" customHeight="1" x14ac:dyDescent="0.3">
      <c r="B31" s="743"/>
      <c r="C31" s="22" t="s">
        <v>48</v>
      </c>
      <c r="D31" s="750"/>
      <c r="E31" s="726"/>
      <c r="F31" s="726"/>
      <c r="G31" s="726"/>
      <c r="H31" s="726"/>
      <c r="I31" s="727"/>
      <c r="J31" s="34"/>
      <c r="K31" s="8"/>
      <c r="L31" s="9"/>
      <c r="M31" s="9"/>
    </row>
    <row r="32" spans="2:13" ht="20.100000000000001" customHeight="1" x14ac:dyDescent="0.3">
      <c r="B32" s="743"/>
      <c r="C32" s="21" t="s">
        <v>66</v>
      </c>
      <c r="D32" s="725"/>
      <c r="E32" s="726"/>
      <c r="F32" s="726"/>
      <c r="G32" s="726"/>
      <c r="H32" s="726"/>
      <c r="I32" s="727"/>
      <c r="J32" s="35"/>
      <c r="K32" s="8"/>
      <c r="L32" s="9"/>
      <c r="M32" s="9"/>
    </row>
    <row r="33" spans="2:11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2:11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2:11" ht="20.100000000000001" customHeight="1" x14ac:dyDescent="0.3">
      <c r="B35" s="743"/>
      <c r="C35" s="22" t="s">
        <v>1083</v>
      </c>
      <c r="D35" s="750"/>
      <c r="E35" s="726"/>
      <c r="F35" s="726"/>
      <c r="G35" s="726"/>
      <c r="H35" s="726"/>
      <c r="I35" s="727"/>
      <c r="J35" s="34"/>
      <c r="K35" s="8"/>
    </row>
    <row r="36" spans="2:11" ht="20.100000000000001" customHeight="1" x14ac:dyDescent="0.3">
      <c r="B36" s="743"/>
      <c r="C36" s="21" t="s">
        <v>951</v>
      </c>
      <c r="D36" s="725"/>
      <c r="E36" s="726"/>
      <c r="F36" s="726"/>
      <c r="G36" s="726"/>
      <c r="H36" s="726"/>
      <c r="I36" s="727"/>
      <c r="J36" s="35"/>
      <c r="K36" s="8"/>
    </row>
    <row r="37" spans="2:11" ht="20.100000000000001" customHeight="1" x14ac:dyDescent="0.3">
      <c r="B37" s="743"/>
      <c r="C37" s="67"/>
      <c r="D37" s="751"/>
      <c r="E37" s="748"/>
      <c r="F37" s="748"/>
      <c r="G37" s="748"/>
      <c r="H37" s="748"/>
      <c r="I37" s="749"/>
      <c r="J37" s="35"/>
      <c r="K37" s="8"/>
    </row>
    <row r="38" spans="2:11" ht="20.100000000000001" customHeight="1" x14ac:dyDescent="0.3">
      <c r="B38" s="743"/>
      <c r="C38" s="29"/>
      <c r="D38" s="752"/>
      <c r="E38" s="753"/>
      <c r="F38" s="753"/>
      <c r="G38" s="753"/>
      <c r="H38" s="753"/>
      <c r="I38" s="754"/>
      <c r="J38" s="33"/>
      <c r="K38" s="8"/>
    </row>
    <row r="39" spans="2:11" ht="20.100000000000001" customHeight="1" x14ac:dyDescent="0.3">
      <c r="B39" s="743"/>
      <c r="C39" s="69" t="s">
        <v>49</v>
      </c>
      <c r="D39" s="750"/>
      <c r="E39" s="726"/>
      <c r="F39" s="726"/>
      <c r="G39" s="726"/>
      <c r="H39" s="726"/>
      <c r="I39" s="727"/>
      <c r="J39" s="34"/>
      <c r="K39" s="8"/>
    </row>
    <row r="40" spans="2:11" ht="20.100000000000001" customHeight="1" x14ac:dyDescent="0.3">
      <c r="B40" s="743"/>
      <c r="C40" s="21"/>
      <c r="D40" s="725"/>
      <c r="E40" s="726"/>
      <c r="F40" s="726"/>
      <c r="G40" s="726"/>
      <c r="H40" s="726"/>
      <c r="I40" s="727"/>
      <c r="J40" s="35"/>
      <c r="K40" s="8"/>
    </row>
    <row r="41" spans="2:11" ht="20.100000000000001" customHeight="1" x14ac:dyDescent="0.3">
      <c r="B41" s="744"/>
      <c r="C41" s="67"/>
      <c r="D41" s="751"/>
      <c r="E41" s="748"/>
      <c r="F41" s="748"/>
      <c r="G41" s="748"/>
      <c r="H41" s="748"/>
      <c r="I41" s="749"/>
      <c r="J41" s="35"/>
      <c r="K41" s="8"/>
    </row>
    <row r="42" spans="2:11" ht="20.100000000000001" customHeight="1" x14ac:dyDescent="0.3">
      <c r="B42" s="745" t="s">
        <v>50</v>
      </c>
      <c r="C42" s="68" t="s">
        <v>3</v>
      </c>
      <c r="D42" s="752" t="s">
        <v>1095</v>
      </c>
      <c r="E42" s="753"/>
      <c r="F42" s="753"/>
      <c r="G42" s="753"/>
      <c r="H42" s="753"/>
      <c r="I42" s="754"/>
      <c r="J42" s="33" t="s">
        <v>1096</v>
      </c>
      <c r="K42" s="8"/>
    </row>
    <row r="43" spans="2:11" ht="20.100000000000001" customHeight="1" x14ac:dyDescent="0.3">
      <c r="B43" s="743"/>
      <c r="C43" s="20">
        <v>3</v>
      </c>
      <c r="D43" s="750" t="s">
        <v>1093</v>
      </c>
      <c r="E43" s="726"/>
      <c r="F43" s="726"/>
      <c r="G43" s="726"/>
      <c r="H43" s="726"/>
      <c r="I43" s="727"/>
      <c r="J43" s="34" t="s">
        <v>1097</v>
      </c>
      <c r="K43" s="8"/>
    </row>
    <row r="44" spans="2:11" ht="20.100000000000001" customHeight="1" x14ac:dyDescent="0.3">
      <c r="B44" s="743"/>
      <c r="C44" s="21" t="str">
        <f>IF(C43=1,"[조용환+]",IF(C43=2,"[한만석+]",IF(C43=3,"[남정현+]",IF(C43=4,"[김광표+]","???"))))</f>
        <v>[남정현+]</v>
      </c>
      <c r="D44" s="725" t="s">
        <v>1094</v>
      </c>
      <c r="E44" s="726"/>
      <c r="F44" s="726"/>
      <c r="G44" s="726"/>
      <c r="H44" s="726"/>
      <c r="I44" s="727"/>
      <c r="J44" s="35" t="s">
        <v>1097</v>
      </c>
      <c r="K44" s="8"/>
    </row>
    <row r="45" spans="2:11" ht="20.100000000000001" customHeight="1" x14ac:dyDescent="0.3">
      <c r="B45" s="743"/>
      <c r="C45" s="521"/>
      <c r="D45" s="725" t="s">
        <v>1098</v>
      </c>
      <c r="E45" s="726"/>
      <c r="F45" s="726"/>
      <c r="G45" s="726"/>
      <c r="H45" s="726"/>
      <c r="I45" s="727"/>
      <c r="J45" s="35"/>
      <c r="K45" s="8"/>
    </row>
    <row r="46" spans="2:11" ht="20.100000000000001" customHeight="1" x14ac:dyDescent="0.3">
      <c r="B46" s="743"/>
      <c r="C46" s="521"/>
      <c r="D46" s="725" t="s">
        <v>1099</v>
      </c>
      <c r="E46" s="726"/>
      <c r="F46" s="726"/>
      <c r="G46" s="726"/>
      <c r="H46" s="726"/>
      <c r="I46" s="727"/>
      <c r="J46" s="35"/>
      <c r="K46" s="8"/>
    </row>
    <row r="47" spans="2:11" ht="20.100000000000001" customHeight="1" x14ac:dyDescent="0.3">
      <c r="B47" s="743"/>
      <c r="C47" s="521"/>
      <c r="D47" s="725" t="s">
        <v>1100</v>
      </c>
      <c r="E47" s="726"/>
      <c r="F47" s="726"/>
      <c r="G47" s="726"/>
      <c r="H47" s="726"/>
      <c r="I47" s="727"/>
      <c r="J47" s="35"/>
      <c r="K47" s="8"/>
    </row>
    <row r="48" spans="2:11" ht="20.100000000000001" customHeight="1" x14ac:dyDescent="0.3">
      <c r="B48" s="743"/>
      <c r="C48" s="521"/>
      <c r="D48" s="725" t="s">
        <v>1101</v>
      </c>
      <c r="E48" s="726"/>
      <c r="F48" s="726"/>
      <c r="G48" s="726"/>
      <c r="H48" s="726"/>
      <c r="I48" s="727"/>
      <c r="J48" s="35"/>
      <c r="K48" s="8"/>
    </row>
    <row r="49" spans="1:17" ht="20.100000000000001" customHeight="1" x14ac:dyDescent="0.3">
      <c r="B49" s="743"/>
      <c r="C49" s="521"/>
      <c r="D49" s="522"/>
      <c r="E49" s="523"/>
      <c r="F49" s="523"/>
      <c r="G49" s="523"/>
      <c r="H49" s="523"/>
      <c r="I49" s="524"/>
      <c r="J49" s="35"/>
      <c r="K49" s="8"/>
    </row>
    <row r="50" spans="1:17" ht="20.100000000000001" customHeight="1" x14ac:dyDescent="0.3">
      <c r="B50" s="743"/>
      <c r="C50" s="13"/>
      <c r="D50" s="725" t="s">
        <v>1105</v>
      </c>
      <c r="E50" s="726"/>
      <c r="F50" s="726"/>
      <c r="G50" s="726"/>
      <c r="H50" s="726"/>
      <c r="I50" s="727"/>
      <c r="J50" s="35"/>
      <c r="K50" s="8"/>
    </row>
    <row r="51" spans="1:17" ht="20.100000000000001" customHeight="1" x14ac:dyDescent="0.3">
      <c r="A51" s="13"/>
      <c r="B51" s="743"/>
      <c r="C51" s="13"/>
      <c r="D51" s="725" t="s">
        <v>1102</v>
      </c>
      <c r="E51" s="726"/>
      <c r="F51" s="726"/>
      <c r="G51" s="726"/>
      <c r="H51" s="726"/>
      <c r="I51" s="727"/>
      <c r="J51" s="35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3"/>
      <c r="D52" s="725" t="s">
        <v>1103</v>
      </c>
      <c r="E52" s="726"/>
      <c r="F52" s="726"/>
      <c r="G52" s="726"/>
      <c r="H52" s="726"/>
      <c r="I52" s="727"/>
      <c r="J52" s="35"/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19"/>
      <c r="D53" s="747" t="s">
        <v>1104</v>
      </c>
      <c r="E53" s="748"/>
      <c r="F53" s="748"/>
      <c r="G53" s="748"/>
      <c r="H53" s="748"/>
      <c r="I53" s="749"/>
      <c r="J53" s="36"/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22" t="s">
        <v>8</v>
      </c>
      <c r="D54" s="752" t="s">
        <v>1106</v>
      </c>
      <c r="E54" s="753"/>
      <c r="F54" s="753"/>
      <c r="G54" s="753"/>
      <c r="H54" s="753"/>
      <c r="I54" s="754"/>
      <c r="J54" s="33" t="s">
        <v>1108</v>
      </c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743"/>
      <c r="C55" s="20">
        <v>4</v>
      </c>
      <c r="D55" s="750" t="s">
        <v>1107</v>
      </c>
      <c r="E55" s="726"/>
      <c r="F55" s="726"/>
      <c r="G55" s="726"/>
      <c r="H55" s="726"/>
      <c r="I55" s="727"/>
      <c r="J55" s="34" t="s">
        <v>1109</v>
      </c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21" t="str">
        <f>IF(C55=1,"[조용환+]",IF(C55=2,"[한만석+]",IF(C55=3,"[남정현+]",IF(C55=4,"[김광표+]","???"))))</f>
        <v>[김광표+]</v>
      </c>
      <c r="D56" s="725" t="s">
        <v>1111</v>
      </c>
      <c r="E56" s="726"/>
      <c r="F56" s="726"/>
      <c r="G56" s="726"/>
      <c r="H56" s="726"/>
      <c r="I56" s="727"/>
      <c r="J56" s="35"/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13"/>
      <c r="D57" s="725" t="s">
        <v>1110</v>
      </c>
      <c r="E57" s="726"/>
      <c r="F57" s="726"/>
      <c r="G57" s="726"/>
      <c r="H57" s="726"/>
      <c r="I57" s="727"/>
      <c r="J57" s="35"/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13"/>
      <c r="D58" s="725" t="s">
        <v>1112</v>
      </c>
      <c r="E58" s="726"/>
      <c r="F58" s="726"/>
      <c r="G58" s="726"/>
      <c r="H58" s="726"/>
      <c r="I58" s="727"/>
      <c r="J58" s="35"/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13"/>
      <c r="D59" s="725" t="s">
        <v>1113</v>
      </c>
      <c r="E59" s="726"/>
      <c r="F59" s="726"/>
      <c r="G59" s="726"/>
      <c r="H59" s="726"/>
      <c r="I59" s="727"/>
      <c r="J59" s="35"/>
      <c r="K59" s="8"/>
      <c r="L59" s="10"/>
      <c r="M59" s="10"/>
      <c r="N59" s="10"/>
      <c r="O59" s="10"/>
      <c r="P59" s="10"/>
      <c r="Q59" s="10"/>
    </row>
    <row r="60" spans="1:17" ht="20.100000000000001" customHeight="1" thickBot="1" x14ac:dyDescent="0.35">
      <c r="A60" s="13"/>
      <c r="B60" s="746"/>
      <c r="C60" s="25"/>
      <c r="D60" s="761"/>
      <c r="E60" s="762"/>
      <c r="F60" s="762"/>
      <c r="G60" s="762"/>
      <c r="H60" s="762"/>
      <c r="I60" s="763"/>
      <c r="J60" s="37"/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23" t="s">
        <v>12</v>
      </c>
      <c r="C61" s="17"/>
      <c r="D61" s="17"/>
      <c r="E61" s="17"/>
      <c r="F61" s="17"/>
      <c r="G61" s="17"/>
      <c r="H61" s="17"/>
      <c r="I61" s="17"/>
      <c r="J61" s="17"/>
      <c r="K61" s="8"/>
      <c r="L61" s="10"/>
      <c r="M61" s="10"/>
      <c r="N61" s="10"/>
      <c r="O61" s="10"/>
      <c r="P61" s="10"/>
      <c r="Q61" s="10"/>
    </row>
    <row r="62" spans="1:17" ht="6" customHeight="1" x14ac:dyDescent="0.3">
      <c r="A62" s="13"/>
      <c r="B62" s="17"/>
      <c r="C62" s="17"/>
      <c r="D62" s="17"/>
      <c r="E62" s="17"/>
      <c r="F62" s="17"/>
      <c r="G62" s="17"/>
      <c r="H62" s="17"/>
      <c r="I62" s="17"/>
      <c r="J62" s="17"/>
      <c r="K62" s="8"/>
      <c r="L62" s="10"/>
      <c r="M62" s="10"/>
      <c r="N62" s="10"/>
      <c r="O62" s="10"/>
      <c r="P62" s="10"/>
      <c r="Q62" s="10"/>
    </row>
    <row r="63" spans="1:17" ht="18.75" customHeight="1" thickBot="1" x14ac:dyDescent="0.35">
      <c r="B63" s="1" t="s">
        <v>7</v>
      </c>
      <c r="C63" s="17"/>
      <c r="D63" s="17"/>
      <c r="E63" s="17"/>
      <c r="F63" s="17"/>
      <c r="G63" s="17"/>
      <c r="H63" s="17"/>
      <c r="I63" s="17"/>
      <c r="J63" s="18"/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38"/>
      <c r="B64" s="764" t="s">
        <v>1080</v>
      </c>
      <c r="C64" s="765"/>
      <c r="D64" s="765"/>
      <c r="E64" s="765"/>
      <c r="F64" s="765"/>
      <c r="G64" s="765"/>
      <c r="H64" s="765"/>
      <c r="I64" s="765"/>
      <c r="J64" s="766"/>
      <c r="K64" s="39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38"/>
      <c r="B65" s="767" t="s">
        <v>966</v>
      </c>
      <c r="C65" s="768"/>
      <c r="D65" s="768"/>
      <c r="E65" s="768"/>
      <c r="F65" s="768"/>
      <c r="G65" s="768"/>
      <c r="H65" s="768"/>
      <c r="I65" s="768"/>
      <c r="J65" s="769"/>
      <c r="K65" s="39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38"/>
      <c r="B66" s="755"/>
      <c r="C66" s="756"/>
      <c r="D66" s="756"/>
      <c r="E66" s="756"/>
      <c r="F66" s="756"/>
      <c r="G66" s="756"/>
      <c r="H66" s="756"/>
      <c r="I66" s="756"/>
      <c r="J66" s="757"/>
      <c r="K66" s="39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38"/>
      <c r="B67" s="755"/>
      <c r="C67" s="756"/>
      <c r="D67" s="756"/>
      <c r="E67" s="756"/>
      <c r="F67" s="756"/>
      <c r="G67" s="756"/>
      <c r="H67" s="756"/>
      <c r="I67" s="756"/>
      <c r="J67" s="757"/>
      <c r="K67" s="39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38"/>
      <c r="B68" s="755"/>
      <c r="C68" s="756"/>
      <c r="D68" s="756"/>
      <c r="E68" s="756"/>
      <c r="F68" s="756"/>
      <c r="G68" s="756"/>
      <c r="H68" s="756"/>
      <c r="I68" s="756"/>
      <c r="J68" s="757"/>
      <c r="K68" s="38"/>
    </row>
    <row r="69" spans="1:17" ht="20.100000000000001" customHeight="1" thickBot="1" x14ac:dyDescent="0.35">
      <c r="A69" s="38"/>
      <c r="B69" s="758"/>
      <c r="C69" s="759"/>
      <c r="D69" s="759"/>
      <c r="E69" s="759"/>
      <c r="F69" s="759"/>
      <c r="G69" s="759"/>
      <c r="H69" s="759"/>
      <c r="I69" s="759"/>
      <c r="J69" s="760"/>
      <c r="K69" s="38"/>
    </row>
    <row r="70" spans="1:17" ht="5.25" customHeight="1" x14ac:dyDescent="0.3">
      <c r="B70" s="11"/>
      <c r="C70" s="11"/>
      <c r="D70" s="11"/>
      <c r="E70" s="11"/>
      <c r="F70" s="11"/>
      <c r="G70" s="11"/>
      <c r="H70" s="11"/>
      <c r="I70" s="11"/>
      <c r="J70" s="11"/>
    </row>
    <row r="71" spans="1:17" ht="24.95" customHeight="1" x14ac:dyDescent="0.3">
      <c r="B71" s="12"/>
      <c r="C71" s="12"/>
      <c r="D71" s="12"/>
      <c r="E71" s="12"/>
      <c r="F71" s="12"/>
      <c r="G71" s="12"/>
      <c r="H71" s="12"/>
      <c r="I71" s="12"/>
      <c r="J71" s="12"/>
    </row>
    <row r="72" spans="1:17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1:17" ht="24.95" customHeight="1" x14ac:dyDescent="0.3">
      <c r="B73" s="13"/>
      <c r="C73" s="770"/>
      <c r="D73" s="770"/>
      <c r="E73" s="770"/>
      <c r="F73" s="770"/>
      <c r="G73" s="770"/>
      <c r="H73" s="770"/>
      <c r="I73" s="13"/>
      <c r="J73" s="13"/>
    </row>
    <row r="74" spans="1:17" ht="24.95" customHeight="1" x14ac:dyDescent="0.3">
      <c r="B74" s="13"/>
      <c r="C74" s="14"/>
      <c r="D74" s="14"/>
      <c r="E74" s="14"/>
      <c r="F74" s="14"/>
      <c r="G74" s="14"/>
      <c r="H74" s="14"/>
      <c r="I74" s="13"/>
      <c r="J74" s="13"/>
    </row>
    <row r="75" spans="1:17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1:17" ht="24.95" customHeight="1" x14ac:dyDescent="0.3">
      <c r="B76" s="13"/>
      <c r="C76" s="770"/>
      <c r="D76" s="770"/>
      <c r="E76" s="770"/>
      <c r="F76" s="770"/>
      <c r="G76" s="770"/>
      <c r="H76" s="770"/>
      <c r="I76" s="13"/>
      <c r="J76" s="13"/>
    </row>
    <row r="77" spans="1:17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1:17" ht="24.95" customHeight="1" x14ac:dyDescent="0.3">
      <c r="B78" s="13"/>
      <c r="C78" s="13"/>
      <c r="D78" s="13"/>
      <c r="E78" s="14"/>
      <c r="F78" s="14"/>
      <c r="G78" s="14"/>
      <c r="H78" s="14"/>
      <c r="I78" s="14"/>
      <c r="J78" s="14"/>
    </row>
    <row r="79" spans="1:17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1:17" ht="24.95" customHeight="1" x14ac:dyDescent="0.3">
      <c r="B80" s="13"/>
      <c r="C80" s="13"/>
      <c r="D80" s="14"/>
      <c r="E80" s="14"/>
      <c r="F80" s="14"/>
      <c r="G80" s="14"/>
      <c r="H80" s="14"/>
      <c r="I80" s="14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ht="24.95" customHeight="1" x14ac:dyDescent="0.3">
      <c r="B82" s="13"/>
      <c r="C82" s="13"/>
      <c r="D82" s="14"/>
      <c r="E82" s="14"/>
      <c r="F82" s="14"/>
      <c r="G82" s="14"/>
      <c r="H82" s="14"/>
      <c r="I82" s="14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</sheetData>
  <mergeCells count="63">
    <mergeCell ref="C76:H76"/>
    <mergeCell ref="B14:J14"/>
    <mergeCell ref="B15:J15"/>
    <mergeCell ref="B16:J16"/>
    <mergeCell ref="C73:H73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42:I42"/>
    <mergeCell ref="D43:I43"/>
    <mergeCell ref="B2:J2"/>
    <mergeCell ref="B3:H3"/>
    <mergeCell ref="B6:J6"/>
    <mergeCell ref="B7:J7"/>
    <mergeCell ref="B12:J12"/>
    <mergeCell ref="B8:J8"/>
    <mergeCell ref="B9:J9"/>
    <mergeCell ref="B10:J10"/>
    <mergeCell ref="B11:J11"/>
    <mergeCell ref="B13:J13"/>
    <mergeCell ref="D22:I22"/>
    <mergeCell ref="D23:I23"/>
    <mergeCell ref="D24:I24"/>
    <mergeCell ref="B17:J17"/>
    <mergeCell ref="B20:J20"/>
    <mergeCell ref="B22:B41"/>
    <mergeCell ref="D34:I34"/>
    <mergeCell ref="D35:I35"/>
    <mergeCell ref="D36:I36"/>
    <mergeCell ref="D37:I37"/>
    <mergeCell ref="D38:I38"/>
    <mergeCell ref="D39:I39"/>
    <mergeCell ref="D40:I40"/>
    <mergeCell ref="D41:I41"/>
    <mergeCell ref="B68:J68"/>
    <mergeCell ref="B69:J69"/>
    <mergeCell ref="D60:I60"/>
    <mergeCell ref="B64:J64"/>
    <mergeCell ref="B65:J65"/>
    <mergeCell ref="B66:J66"/>
    <mergeCell ref="B67:J67"/>
    <mergeCell ref="D58:I58"/>
    <mergeCell ref="D59:I59"/>
    <mergeCell ref="B42:B60"/>
    <mergeCell ref="D44:I44"/>
    <mergeCell ref="D50:I50"/>
    <mergeCell ref="D53:I53"/>
    <mergeCell ref="D51:I51"/>
    <mergeCell ref="D45:I45"/>
    <mergeCell ref="D46:I46"/>
    <mergeCell ref="D47:I47"/>
    <mergeCell ref="D54:I54"/>
    <mergeCell ref="D55:I55"/>
    <mergeCell ref="D56:I56"/>
    <mergeCell ref="D57:I57"/>
    <mergeCell ref="D48:I48"/>
    <mergeCell ref="D52:I52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55" fitToHeight="99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Q91"/>
  <sheetViews>
    <sheetView showGridLines="0" view="pageBreakPreview" topLeftCell="A22" zoomScale="85" zoomScaleNormal="100" zoomScaleSheetLayoutView="85" workbookViewId="0">
      <selection activeCell="D46" sqref="D46:I46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'04'!B3+1</f>
        <v>46270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 t="s">
        <v>1114</v>
      </c>
      <c r="E38" s="753"/>
      <c r="F38" s="753"/>
      <c r="G38" s="753"/>
      <c r="H38" s="753"/>
      <c r="I38" s="754"/>
      <c r="J38" s="33" t="s">
        <v>1120</v>
      </c>
      <c r="K38" s="8"/>
    </row>
    <row r="39" spans="1:17" ht="20.100000000000001" customHeight="1" x14ac:dyDescent="0.3">
      <c r="B39" s="743"/>
      <c r="C39" s="20">
        <v>1</v>
      </c>
      <c r="D39" s="750" t="s">
        <v>1115</v>
      </c>
      <c r="E39" s="726"/>
      <c r="F39" s="726"/>
      <c r="G39" s="726"/>
      <c r="H39" s="726"/>
      <c r="I39" s="727"/>
      <c r="J39" s="34" t="s">
        <v>1120</v>
      </c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 t="s">
        <v>1118</v>
      </c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 t="s">
        <v>1116</v>
      </c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 t="s">
        <v>1117</v>
      </c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 t="s">
        <v>1119</v>
      </c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 t="s">
        <v>1121</v>
      </c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 t="s">
        <v>1122</v>
      </c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 t="s">
        <v>1124</v>
      </c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 t="s">
        <v>1123</v>
      </c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 t="s">
        <v>1081</v>
      </c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9:J9"/>
    <mergeCell ref="B2:J2"/>
    <mergeCell ref="B3:H3"/>
    <mergeCell ref="B6:J6"/>
    <mergeCell ref="B7:J7"/>
    <mergeCell ref="B8:J8"/>
    <mergeCell ref="D29:I29"/>
    <mergeCell ref="D35:I35"/>
    <mergeCell ref="D36:I36"/>
    <mergeCell ref="B13:J13"/>
    <mergeCell ref="B16:J16"/>
    <mergeCell ref="B18:B37"/>
    <mergeCell ref="D37:I37"/>
    <mergeCell ref="B10:J10"/>
    <mergeCell ref="B11:J11"/>
    <mergeCell ref="B12:J12"/>
    <mergeCell ref="D26:I26"/>
    <mergeCell ref="D27:I27"/>
    <mergeCell ref="C67:H67"/>
    <mergeCell ref="D18:I18"/>
    <mergeCell ref="D19:I19"/>
    <mergeCell ref="D20:I20"/>
    <mergeCell ref="D21:I21"/>
    <mergeCell ref="D22:I22"/>
    <mergeCell ref="D23:I23"/>
    <mergeCell ref="D24:I24"/>
    <mergeCell ref="D25:I25"/>
    <mergeCell ref="C64:H64"/>
    <mergeCell ref="D30:I30"/>
    <mergeCell ref="D31:I31"/>
    <mergeCell ref="D32:I32"/>
    <mergeCell ref="D33:I33"/>
    <mergeCell ref="D34:I34"/>
    <mergeCell ref="D28:I28"/>
    <mergeCell ref="D38:I38"/>
    <mergeCell ref="D39:I39"/>
    <mergeCell ref="D40:I40"/>
    <mergeCell ref="D45:I45"/>
    <mergeCell ref="B58:J58"/>
    <mergeCell ref="B59:J59"/>
    <mergeCell ref="B60:J60"/>
    <mergeCell ref="D48:I48"/>
    <mergeCell ref="D51:I51"/>
    <mergeCell ref="B55:J55"/>
    <mergeCell ref="B56:J56"/>
    <mergeCell ref="B57:J57"/>
    <mergeCell ref="B38:B51"/>
    <mergeCell ref="D47:I47"/>
    <mergeCell ref="D41:I41"/>
    <mergeCell ref="D44:I44"/>
    <mergeCell ref="D46:I46"/>
    <mergeCell ref="D42:I42"/>
    <mergeCell ref="D43:I43"/>
    <mergeCell ref="D49:I49"/>
    <mergeCell ref="D50:I50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FF0000"/>
    <pageSetUpPr fitToPage="1"/>
  </sheetPr>
  <dimension ref="A1:Q91"/>
  <sheetViews>
    <sheetView showGridLines="0" view="pageBreakPreview" topLeftCell="C25" zoomScale="85" zoomScaleNormal="100" zoomScaleSheetLayoutView="85" workbookViewId="0">
      <selection activeCell="D49" sqref="D49:I49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'05'!B3+1</f>
        <v>46271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 t="s">
        <v>1130</v>
      </c>
      <c r="E38" s="753"/>
      <c r="F38" s="753"/>
      <c r="G38" s="753"/>
      <c r="H38" s="753"/>
      <c r="I38" s="754"/>
      <c r="J38" s="33" t="s">
        <v>1125</v>
      </c>
      <c r="K38" s="8"/>
    </row>
    <row r="39" spans="1:17" ht="20.100000000000001" customHeight="1" x14ac:dyDescent="0.3">
      <c r="B39" s="743"/>
      <c r="C39" s="20">
        <v>1</v>
      </c>
      <c r="D39" s="750" t="s">
        <v>1129</v>
      </c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 t="s">
        <v>1126</v>
      </c>
      <c r="E40" s="726"/>
      <c r="F40" s="726"/>
      <c r="G40" s="726"/>
      <c r="H40" s="726"/>
      <c r="I40" s="727"/>
      <c r="J40" s="35" t="s">
        <v>1127</v>
      </c>
      <c r="K40" s="8"/>
    </row>
    <row r="41" spans="1:17" ht="20.100000000000001" customHeight="1" x14ac:dyDescent="0.3">
      <c r="B41" s="743"/>
      <c r="C41" s="13"/>
      <c r="D41" s="725" t="s">
        <v>1128</v>
      </c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 t="s">
        <v>1131</v>
      </c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 t="s">
        <v>1132</v>
      </c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 t="s">
        <v>1133</v>
      </c>
      <c r="E47" s="726"/>
      <c r="F47" s="726"/>
      <c r="G47" s="726"/>
      <c r="H47" s="726"/>
      <c r="I47" s="727"/>
      <c r="J47" s="35" t="s">
        <v>1136</v>
      </c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 t="s">
        <v>1134</v>
      </c>
      <c r="E48" s="726"/>
      <c r="F48" s="726"/>
      <c r="G48" s="726"/>
      <c r="H48" s="726"/>
      <c r="I48" s="727"/>
      <c r="J48" s="35" t="s">
        <v>1135</v>
      </c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 t="s">
        <v>1137</v>
      </c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/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9:J9"/>
    <mergeCell ref="B2:J2"/>
    <mergeCell ref="B3:H3"/>
    <mergeCell ref="B6:J6"/>
    <mergeCell ref="B7:J7"/>
    <mergeCell ref="B8:J8"/>
    <mergeCell ref="D29:I29"/>
    <mergeCell ref="D35:I35"/>
    <mergeCell ref="D36:I36"/>
    <mergeCell ref="B13:J13"/>
    <mergeCell ref="B16:J16"/>
    <mergeCell ref="B18:B37"/>
    <mergeCell ref="D37:I37"/>
    <mergeCell ref="B10:J10"/>
    <mergeCell ref="B11:J11"/>
    <mergeCell ref="B12:J12"/>
    <mergeCell ref="D26:I26"/>
    <mergeCell ref="D27:I27"/>
    <mergeCell ref="C67:H67"/>
    <mergeCell ref="D18:I18"/>
    <mergeCell ref="D19:I19"/>
    <mergeCell ref="D20:I20"/>
    <mergeCell ref="D21:I21"/>
    <mergeCell ref="D22:I22"/>
    <mergeCell ref="D23:I23"/>
    <mergeCell ref="D24:I24"/>
    <mergeCell ref="D25:I25"/>
    <mergeCell ref="C64:H64"/>
    <mergeCell ref="D30:I30"/>
    <mergeCell ref="D31:I31"/>
    <mergeCell ref="D32:I32"/>
    <mergeCell ref="D33:I33"/>
    <mergeCell ref="D34:I34"/>
    <mergeCell ref="D28:I28"/>
    <mergeCell ref="D38:I38"/>
    <mergeCell ref="D39:I39"/>
    <mergeCell ref="D40:I40"/>
    <mergeCell ref="D45:I45"/>
    <mergeCell ref="B58:J58"/>
    <mergeCell ref="B59:J59"/>
    <mergeCell ref="B60:J60"/>
    <mergeCell ref="D48:I48"/>
    <mergeCell ref="D51:I51"/>
    <mergeCell ref="B55:J55"/>
    <mergeCell ref="B56:J56"/>
    <mergeCell ref="B57:J57"/>
    <mergeCell ref="B38:B51"/>
    <mergeCell ref="D47:I47"/>
    <mergeCell ref="D41:I41"/>
    <mergeCell ref="D44:I44"/>
    <mergeCell ref="D46:I46"/>
    <mergeCell ref="D42:I42"/>
    <mergeCell ref="D43:I43"/>
    <mergeCell ref="D49:I49"/>
    <mergeCell ref="D50:I50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Q102"/>
  <sheetViews>
    <sheetView showGridLines="0" view="pageBreakPreview" zoomScale="85" zoomScaleNormal="100" zoomScaleSheetLayoutView="85" workbookViewId="0">
      <selection activeCell="D48" sqref="D48:I4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'06'!B3+1</f>
        <v>46272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 t="s">
        <v>1138</v>
      </c>
      <c r="E38" s="753"/>
      <c r="F38" s="753"/>
      <c r="G38" s="753"/>
      <c r="H38" s="753"/>
      <c r="I38" s="754"/>
      <c r="J38" s="33" t="s">
        <v>1161</v>
      </c>
      <c r="K38" s="8"/>
    </row>
    <row r="39" spans="1:17" ht="20.100000000000001" customHeight="1" x14ac:dyDescent="0.3">
      <c r="B39" s="743"/>
      <c r="C39" s="20">
        <v>4</v>
      </c>
      <c r="D39" s="750" t="s">
        <v>1139</v>
      </c>
      <c r="E39" s="726"/>
      <c r="F39" s="726"/>
      <c r="G39" s="726"/>
      <c r="H39" s="726"/>
      <c r="I39" s="727"/>
      <c r="J39" s="34" t="s">
        <v>1140</v>
      </c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[김광표+]</v>
      </c>
      <c r="D40" s="725" t="s">
        <v>1142</v>
      </c>
      <c r="E40" s="726"/>
      <c r="F40" s="726"/>
      <c r="G40" s="726"/>
      <c r="H40" s="726"/>
      <c r="I40" s="727"/>
      <c r="J40" s="35" t="s">
        <v>1145</v>
      </c>
      <c r="K40" s="8"/>
    </row>
    <row r="41" spans="1:17" ht="20.100000000000001" customHeight="1" x14ac:dyDescent="0.3">
      <c r="B41" s="743"/>
      <c r="C41" s="13"/>
      <c r="D41" s="725" t="s">
        <v>1143</v>
      </c>
      <c r="E41" s="726"/>
      <c r="F41" s="726"/>
      <c r="G41" s="726"/>
      <c r="H41" s="726"/>
      <c r="I41" s="727"/>
      <c r="J41" s="35" t="s">
        <v>1146</v>
      </c>
      <c r="K41" s="8"/>
    </row>
    <row r="42" spans="1:17" ht="20.100000000000001" customHeight="1" x14ac:dyDescent="0.3">
      <c r="A42" s="13"/>
      <c r="B42" s="743"/>
      <c r="C42" s="13"/>
      <c r="D42" s="725" t="s">
        <v>1144</v>
      </c>
      <c r="E42" s="726"/>
      <c r="F42" s="726"/>
      <c r="G42" s="726"/>
      <c r="H42" s="726"/>
      <c r="I42" s="727"/>
      <c r="J42" s="35" t="s">
        <v>1164</v>
      </c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 t="s">
        <v>1147</v>
      </c>
      <c r="E43" s="786"/>
      <c r="F43" s="786"/>
      <c r="G43" s="786"/>
      <c r="H43" s="786"/>
      <c r="I43" s="78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3"/>
      <c r="D44" s="725" t="s">
        <v>1148</v>
      </c>
      <c r="E44" s="786"/>
      <c r="F44" s="786"/>
      <c r="G44" s="786"/>
      <c r="H44" s="786"/>
      <c r="I44" s="787"/>
      <c r="J44" s="35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13"/>
      <c r="D45" s="725" t="s">
        <v>1149</v>
      </c>
      <c r="E45" s="786"/>
      <c r="F45" s="786"/>
      <c r="G45" s="786"/>
      <c r="H45" s="786"/>
      <c r="I45" s="787"/>
      <c r="J45" s="35" t="s">
        <v>1150</v>
      </c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13"/>
      <c r="D46" s="725" t="s">
        <v>1151</v>
      </c>
      <c r="E46" s="786"/>
      <c r="F46" s="786"/>
      <c r="G46" s="786"/>
      <c r="H46" s="786"/>
      <c r="I46" s="787"/>
      <c r="J46" s="35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13"/>
      <c r="D47" s="725" t="s">
        <v>1152</v>
      </c>
      <c r="E47" s="786"/>
      <c r="F47" s="786"/>
      <c r="G47" s="786"/>
      <c r="H47" s="786"/>
      <c r="I47" s="78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 t="s">
        <v>1153</v>
      </c>
      <c r="E48" s="786"/>
      <c r="F48" s="786"/>
      <c r="G48" s="786"/>
      <c r="H48" s="786"/>
      <c r="I48" s="78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 t="s">
        <v>1154</v>
      </c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 t="s">
        <v>1155</v>
      </c>
      <c r="E50" s="786"/>
      <c r="F50" s="786"/>
      <c r="G50" s="786"/>
      <c r="H50" s="786"/>
      <c r="I50" s="78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x14ac:dyDescent="0.3">
      <c r="A51" s="13"/>
      <c r="B51" s="743"/>
      <c r="C51" s="13"/>
      <c r="D51" s="725" t="s">
        <v>1160</v>
      </c>
      <c r="E51" s="786"/>
      <c r="F51" s="786"/>
      <c r="G51" s="786"/>
      <c r="H51" s="786"/>
      <c r="I51" s="787"/>
      <c r="J51" s="35" t="s">
        <v>1156</v>
      </c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3"/>
      <c r="D52" s="725" t="s">
        <v>1157</v>
      </c>
      <c r="E52" s="786"/>
      <c r="F52" s="786"/>
      <c r="G52" s="786"/>
      <c r="H52" s="786"/>
      <c r="I52" s="787"/>
      <c r="J52" s="35"/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13"/>
      <c r="D53" s="725" t="s">
        <v>1158</v>
      </c>
      <c r="E53" s="786"/>
      <c r="F53" s="786"/>
      <c r="G53" s="786"/>
      <c r="H53" s="786"/>
      <c r="I53" s="787"/>
      <c r="J53" s="35"/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13"/>
      <c r="D54" s="725" t="s">
        <v>1159</v>
      </c>
      <c r="E54" s="786"/>
      <c r="F54" s="786"/>
      <c r="G54" s="786"/>
      <c r="H54" s="786"/>
      <c r="I54" s="787"/>
      <c r="J54" s="35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743"/>
      <c r="C55" s="19"/>
      <c r="D55" s="747"/>
      <c r="E55" s="748"/>
      <c r="F55" s="748"/>
      <c r="G55" s="748"/>
      <c r="H55" s="748"/>
      <c r="I55" s="749"/>
      <c r="J55" s="36"/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22" t="s">
        <v>8</v>
      </c>
      <c r="D56" s="752" t="s">
        <v>1162</v>
      </c>
      <c r="E56" s="753"/>
      <c r="F56" s="753"/>
      <c r="G56" s="753"/>
      <c r="H56" s="753"/>
      <c r="I56" s="754"/>
      <c r="J56" s="33" t="s">
        <v>1165</v>
      </c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20">
        <v>3</v>
      </c>
      <c r="D57" s="750" t="s">
        <v>1163</v>
      </c>
      <c r="E57" s="726"/>
      <c r="F57" s="726"/>
      <c r="G57" s="726"/>
      <c r="H57" s="726"/>
      <c r="I57" s="727"/>
      <c r="J57" s="34" t="s">
        <v>1166</v>
      </c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21" t="str">
        <f>IF(C57=1,"[조용환+]",IF(C57=2,"[한만석+]",IF(C57=3,"[남정현+]",IF(C57=4,"[김광표+]","???"))))</f>
        <v>[남정현+]</v>
      </c>
      <c r="D58" s="725" t="s">
        <v>1170</v>
      </c>
      <c r="E58" s="726"/>
      <c r="F58" s="726"/>
      <c r="G58" s="726"/>
      <c r="H58" s="726"/>
      <c r="I58" s="727"/>
      <c r="J58" s="35"/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13"/>
      <c r="D59" s="725" t="s">
        <v>1167</v>
      </c>
      <c r="E59" s="726"/>
      <c r="F59" s="726"/>
      <c r="G59" s="726"/>
      <c r="H59" s="726"/>
      <c r="I59" s="727"/>
      <c r="J59" s="35"/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13"/>
      <c r="D60" s="725" t="s">
        <v>1168</v>
      </c>
      <c r="E60" s="726"/>
      <c r="F60" s="726"/>
      <c r="G60" s="726"/>
      <c r="H60" s="726"/>
      <c r="I60" s="727"/>
      <c r="J60" s="35"/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13"/>
      <c r="D61" s="725" t="s">
        <v>1169</v>
      </c>
      <c r="E61" s="726"/>
      <c r="F61" s="726"/>
      <c r="G61" s="726"/>
      <c r="H61" s="726"/>
      <c r="I61" s="727"/>
      <c r="J61" s="35"/>
      <c r="K61" s="8"/>
      <c r="L61" s="10"/>
      <c r="M61" s="10"/>
      <c r="N61" s="10"/>
      <c r="O61" s="10"/>
      <c r="P61" s="10"/>
      <c r="Q61" s="10"/>
    </row>
    <row r="62" spans="1:17" ht="20.100000000000001" customHeight="1" thickBot="1" x14ac:dyDescent="0.35">
      <c r="A62" s="13"/>
      <c r="B62" s="746"/>
      <c r="C62" s="25"/>
      <c r="D62" s="761"/>
      <c r="E62" s="762"/>
      <c r="F62" s="762"/>
      <c r="G62" s="762"/>
      <c r="H62" s="762"/>
      <c r="I62" s="763"/>
      <c r="J62" s="37"/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23" t="s">
        <v>12</v>
      </c>
      <c r="C63" s="17"/>
      <c r="D63" s="17"/>
      <c r="E63" s="17"/>
      <c r="F63" s="17"/>
      <c r="G63" s="17"/>
      <c r="H63" s="17"/>
      <c r="I63" s="17"/>
      <c r="J63" s="17"/>
      <c r="K63" s="8"/>
      <c r="L63" s="10"/>
      <c r="M63" s="10"/>
      <c r="N63" s="10"/>
      <c r="O63" s="10"/>
      <c r="P63" s="10"/>
      <c r="Q63" s="10"/>
    </row>
    <row r="64" spans="1:17" ht="6" customHeight="1" x14ac:dyDescent="0.3">
      <c r="A64" s="13"/>
      <c r="B64" s="17"/>
      <c r="C64" s="17"/>
      <c r="D64" s="17"/>
      <c r="E64" s="17"/>
      <c r="F64" s="17"/>
      <c r="G64" s="17"/>
      <c r="H64" s="17"/>
      <c r="I64" s="17"/>
      <c r="J64" s="17"/>
      <c r="K64" s="8"/>
      <c r="L64" s="10"/>
      <c r="M64" s="10"/>
      <c r="N64" s="10"/>
      <c r="O64" s="10"/>
      <c r="P64" s="10"/>
      <c r="Q64" s="10"/>
    </row>
    <row r="65" spans="1:17" ht="18.75" customHeight="1" thickBot="1" x14ac:dyDescent="0.35">
      <c r="B65" s="1" t="s">
        <v>7</v>
      </c>
      <c r="C65" s="17"/>
      <c r="D65" s="17"/>
      <c r="E65" s="17"/>
      <c r="F65" s="17"/>
      <c r="G65" s="17"/>
      <c r="H65" s="17"/>
      <c r="I65" s="17"/>
      <c r="J65" s="18"/>
      <c r="K65" s="8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38"/>
      <c r="B66" s="764" t="s">
        <v>1082</v>
      </c>
      <c r="C66" s="765"/>
      <c r="D66" s="765"/>
      <c r="E66" s="765"/>
      <c r="F66" s="765"/>
      <c r="G66" s="765"/>
      <c r="H66" s="765"/>
      <c r="I66" s="765"/>
      <c r="J66" s="766"/>
      <c r="K66" s="39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38"/>
      <c r="B67" s="767"/>
      <c r="C67" s="768"/>
      <c r="D67" s="768"/>
      <c r="E67" s="768"/>
      <c r="F67" s="768"/>
      <c r="G67" s="768"/>
      <c r="H67" s="768"/>
      <c r="I67" s="768"/>
      <c r="J67" s="769"/>
      <c r="K67" s="39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38"/>
      <c r="B68" s="755"/>
      <c r="C68" s="756"/>
      <c r="D68" s="756"/>
      <c r="E68" s="756"/>
      <c r="F68" s="756"/>
      <c r="G68" s="756"/>
      <c r="H68" s="756"/>
      <c r="I68" s="756"/>
      <c r="J68" s="757"/>
      <c r="K68" s="39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38"/>
      <c r="B69" s="755"/>
      <c r="C69" s="756"/>
      <c r="D69" s="756"/>
      <c r="E69" s="756"/>
      <c r="F69" s="756"/>
      <c r="G69" s="756"/>
      <c r="H69" s="756"/>
      <c r="I69" s="756"/>
      <c r="J69" s="757"/>
      <c r="K69" s="39"/>
      <c r="L69" s="10"/>
      <c r="M69" s="10"/>
      <c r="N69" s="10"/>
      <c r="O69" s="10"/>
      <c r="P69" s="10"/>
      <c r="Q69" s="10"/>
    </row>
    <row r="70" spans="1:17" ht="20.100000000000001" customHeight="1" x14ac:dyDescent="0.3">
      <c r="A70" s="38"/>
      <c r="B70" s="755"/>
      <c r="C70" s="756"/>
      <c r="D70" s="756"/>
      <c r="E70" s="756"/>
      <c r="F70" s="756"/>
      <c r="G70" s="756"/>
      <c r="H70" s="756"/>
      <c r="I70" s="756"/>
      <c r="J70" s="757"/>
      <c r="K70" s="38"/>
    </row>
    <row r="71" spans="1:17" ht="20.100000000000001" customHeight="1" thickBot="1" x14ac:dyDescent="0.35">
      <c r="A71" s="38"/>
      <c r="B71" s="758"/>
      <c r="C71" s="759"/>
      <c r="D71" s="759"/>
      <c r="E71" s="759"/>
      <c r="F71" s="759"/>
      <c r="G71" s="759"/>
      <c r="H71" s="759"/>
      <c r="I71" s="759"/>
      <c r="J71" s="760"/>
      <c r="K71" s="38"/>
    </row>
    <row r="72" spans="1:17" ht="5.25" customHeight="1" x14ac:dyDescent="0.3">
      <c r="B72" s="11"/>
      <c r="C72" s="11"/>
      <c r="D72" s="11"/>
      <c r="E72" s="11"/>
      <c r="F72" s="11"/>
      <c r="G72" s="11"/>
      <c r="H72" s="11"/>
      <c r="I72" s="11"/>
      <c r="J72" s="11"/>
    </row>
    <row r="73" spans="1:17" ht="24.95" customHeight="1" x14ac:dyDescent="0.3">
      <c r="B73" s="12"/>
      <c r="C73" s="12"/>
      <c r="D73" s="12"/>
      <c r="E73" s="12"/>
      <c r="F73" s="12"/>
      <c r="G73" s="12"/>
      <c r="H73" s="12"/>
      <c r="I73" s="12"/>
      <c r="J73" s="12"/>
    </row>
    <row r="74" spans="1:17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1:17" ht="24.95" customHeight="1" x14ac:dyDescent="0.3">
      <c r="B75" s="13"/>
      <c r="C75" s="770"/>
      <c r="D75" s="770"/>
      <c r="E75" s="770"/>
      <c r="F75" s="770"/>
      <c r="G75" s="770"/>
      <c r="H75" s="770"/>
      <c r="I75" s="13"/>
      <c r="J75" s="13"/>
    </row>
    <row r="76" spans="1:17" ht="24.95" customHeight="1" x14ac:dyDescent="0.3">
      <c r="B76" s="13"/>
      <c r="C76" s="14"/>
      <c r="D76" s="14"/>
      <c r="E76" s="14"/>
      <c r="F76" s="14"/>
      <c r="G76" s="14"/>
      <c r="H76" s="14"/>
      <c r="I76" s="13"/>
      <c r="J76" s="13"/>
    </row>
    <row r="77" spans="1:17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1:17" ht="24.95" customHeight="1" x14ac:dyDescent="0.3">
      <c r="B78" s="13"/>
      <c r="C78" s="770"/>
      <c r="D78" s="770"/>
      <c r="E78" s="770"/>
      <c r="F78" s="770"/>
      <c r="G78" s="770"/>
      <c r="H78" s="770"/>
      <c r="I78" s="13"/>
      <c r="J78" s="13"/>
    </row>
    <row r="79" spans="1:17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1:17" ht="24.95" customHeight="1" x14ac:dyDescent="0.3">
      <c r="B80" s="13"/>
      <c r="C80" s="13"/>
      <c r="D80" s="13"/>
      <c r="E80" s="14"/>
      <c r="F80" s="14"/>
      <c r="G80" s="14"/>
      <c r="H80" s="14"/>
      <c r="I80" s="14"/>
      <c r="J80" s="14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ht="24.95" customHeight="1" x14ac:dyDescent="0.3">
      <c r="B82" s="13"/>
      <c r="C82" s="13"/>
      <c r="D82" s="14"/>
      <c r="E82" s="14"/>
      <c r="F82" s="14"/>
      <c r="G82" s="14"/>
      <c r="H82" s="14"/>
      <c r="I82" s="14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ht="24.95" customHeight="1" x14ac:dyDescent="0.3">
      <c r="B84" s="13"/>
      <c r="C84" s="13"/>
      <c r="D84" s="14"/>
      <c r="E84" s="14"/>
      <c r="F84" s="14"/>
      <c r="G84" s="14"/>
      <c r="H84" s="14"/>
      <c r="I84" s="14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</sheetData>
  <mergeCells count="66">
    <mergeCell ref="B9:J9"/>
    <mergeCell ref="B2:J2"/>
    <mergeCell ref="B3:H3"/>
    <mergeCell ref="B6:J6"/>
    <mergeCell ref="B7:J7"/>
    <mergeCell ref="B8:J8"/>
    <mergeCell ref="D29:I29"/>
    <mergeCell ref="D35:I35"/>
    <mergeCell ref="D36:I36"/>
    <mergeCell ref="B13:J13"/>
    <mergeCell ref="B16:J16"/>
    <mergeCell ref="B18:B37"/>
    <mergeCell ref="D37:I37"/>
    <mergeCell ref="B10:J10"/>
    <mergeCell ref="B11:J11"/>
    <mergeCell ref="B12:J12"/>
    <mergeCell ref="D26:I26"/>
    <mergeCell ref="D27:I27"/>
    <mergeCell ref="C78:H78"/>
    <mergeCell ref="D18:I18"/>
    <mergeCell ref="D19:I19"/>
    <mergeCell ref="D20:I20"/>
    <mergeCell ref="D21:I21"/>
    <mergeCell ref="D22:I22"/>
    <mergeCell ref="D23:I23"/>
    <mergeCell ref="D24:I24"/>
    <mergeCell ref="D25:I25"/>
    <mergeCell ref="C75:H75"/>
    <mergeCell ref="D30:I30"/>
    <mergeCell ref="D31:I31"/>
    <mergeCell ref="D32:I32"/>
    <mergeCell ref="D33:I33"/>
    <mergeCell ref="D34:I34"/>
    <mergeCell ref="D28:I28"/>
    <mergeCell ref="D38:I38"/>
    <mergeCell ref="D39:I39"/>
    <mergeCell ref="D40:I40"/>
    <mergeCell ref="D56:I56"/>
    <mergeCell ref="B69:J69"/>
    <mergeCell ref="D43:I43"/>
    <mergeCell ref="D44:I44"/>
    <mergeCell ref="D45:I45"/>
    <mergeCell ref="D46:I46"/>
    <mergeCell ref="D47:I47"/>
    <mergeCell ref="D48:I48"/>
    <mergeCell ref="D50:I50"/>
    <mergeCell ref="D51:I51"/>
    <mergeCell ref="D52:I52"/>
    <mergeCell ref="D53:I53"/>
    <mergeCell ref="D54:I54"/>
    <mergeCell ref="B70:J70"/>
    <mergeCell ref="B71:J71"/>
    <mergeCell ref="D59:I59"/>
    <mergeCell ref="D62:I62"/>
    <mergeCell ref="B66:J66"/>
    <mergeCell ref="B67:J67"/>
    <mergeCell ref="B68:J68"/>
    <mergeCell ref="B38:B62"/>
    <mergeCell ref="D58:I58"/>
    <mergeCell ref="D41:I41"/>
    <mergeCell ref="D55:I55"/>
    <mergeCell ref="D57:I57"/>
    <mergeCell ref="D42:I42"/>
    <mergeCell ref="D49:I49"/>
    <mergeCell ref="D60:I60"/>
    <mergeCell ref="D61:I6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54" fitToHeight="99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Q110"/>
  <sheetViews>
    <sheetView showGridLines="0" view="pageBreakPreview" topLeftCell="A37" zoomScale="85" zoomScaleNormal="100" zoomScaleSheetLayoutView="85" workbookViewId="0">
      <selection activeCell="D56" sqref="D56:I56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'07'!B3+1</f>
        <v>46273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1173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 t="s">
        <v>1175</v>
      </c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1" t="s">
        <v>1176</v>
      </c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731" t="s">
        <v>1177</v>
      </c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 t="s">
        <v>1178</v>
      </c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 t="s">
        <v>1179</v>
      </c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0" ht="20.100000000000001" customHeight="1" x14ac:dyDescent="0.3">
      <c r="B13" s="731" t="s">
        <v>1174</v>
      </c>
      <c r="C13" s="732"/>
      <c r="D13" s="732"/>
      <c r="E13" s="732"/>
      <c r="F13" s="732"/>
      <c r="G13" s="732"/>
      <c r="H13" s="732"/>
      <c r="I13" s="732"/>
      <c r="J13" s="733"/>
    </row>
    <row r="14" spans="2:10" ht="36" customHeight="1" x14ac:dyDescent="0.3">
      <c r="B14" s="780" t="s">
        <v>1180</v>
      </c>
      <c r="C14" s="781"/>
      <c r="D14" s="781"/>
      <c r="E14" s="781"/>
      <c r="F14" s="781"/>
      <c r="G14" s="781"/>
      <c r="H14" s="781"/>
      <c r="I14" s="781"/>
      <c r="J14" s="782"/>
    </row>
    <row r="15" spans="2:10" ht="34.5" customHeight="1" x14ac:dyDescent="0.3">
      <c r="B15" s="780" t="s">
        <v>1181</v>
      </c>
      <c r="C15" s="781"/>
      <c r="D15" s="781"/>
      <c r="E15" s="781"/>
      <c r="F15" s="781"/>
      <c r="G15" s="781"/>
      <c r="H15" s="781"/>
      <c r="I15" s="781"/>
      <c r="J15" s="782"/>
    </row>
    <row r="16" spans="2:10" ht="20.100000000000001" customHeight="1" x14ac:dyDescent="0.3">
      <c r="B16" s="731" t="s">
        <v>1182</v>
      </c>
      <c r="C16" s="732"/>
      <c r="D16" s="732"/>
      <c r="E16" s="732"/>
      <c r="F16" s="732"/>
      <c r="G16" s="732"/>
      <c r="H16" s="732"/>
      <c r="I16" s="732"/>
      <c r="J16" s="733"/>
    </row>
    <row r="17" spans="2:12" ht="20.100000000000001" customHeight="1" x14ac:dyDescent="0.3">
      <c r="B17" s="731"/>
      <c r="C17" s="732"/>
      <c r="D17" s="732"/>
      <c r="E17" s="732"/>
      <c r="F17" s="732"/>
      <c r="G17" s="732"/>
      <c r="H17" s="732"/>
      <c r="I17" s="732"/>
      <c r="J17" s="733"/>
    </row>
    <row r="18" spans="2:12" ht="20.100000000000001" customHeight="1" x14ac:dyDescent="0.3">
      <c r="B18" s="785"/>
      <c r="C18" s="732"/>
      <c r="D18" s="732"/>
      <c r="E18" s="732"/>
      <c r="F18" s="732"/>
      <c r="G18" s="732"/>
      <c r="H18" s="732"/>
      <c r="I18" s="732"/>
      <c r="J18" s="733"/>
    </row>
    <row r="19" spans="2:12" ht="20.100000000000001" customHeight="1" x14ac:dyDescent="0.3">
      <c r="B19" s="731"/>
      <c r="C19" s="732"/>
      <c r="D19" s="732"/>
      <c r="E19" s="732"/>
      <c r="F19" s="732"/>
      <c r="G19" s="732"/>
      <c r="H19" s="732"/>
      <c r="I19" s="732"/>
      <c r="J19" s="733"/>
    </row>
    <row r="20" spans="2:12" ht="7.5" customHeight="1" thickBot="1" x14ac:dyDescent="0.35">
      <c r="B20" s="737"/>
      <c r="C20" s="738"/>
      <c r="D20" s="738"/>
      <c r="E20" s="738"/>
      <c r="F20" s="738"/>
      <c r="G20" s="738"/>
      <c r="H20" s="738"/>
      <c r="I20" s="738"/>
      <c r="J20" s="739"/>
    </row>
    <row r="21" spans="2:12" ht="21.75" customHeight="1" x14ac:dyDescent="0.3">
      <c r="B21" s="16"/>
      <c r="C21" s="16"/>
      <c r="D21" s="16"/>
      <c r="E21" s="16"/>
      <c r="F21" s="16"/>
      <c r="G21" s="16"/>
      <c r="H21" s="16"/>
      <c r="I21" s="16"/>
      <c r="J21" s="16"/>
    </row>
    <row r="22" spans="2:12" ht="23.1" customHeight="1" thickBot="1" x14ac:dyDescent="0.35">
      <c r="B22" s="1" t="s">
        <v>1</v>
      </c>
      <c r="I22" s="2"/>
      <c r="J22" s="24" t="s">
        <v>9</v>
      </c>
    </row>
    <row r="23" spans="2:12" ht="24.95" customHeight="1" thickBot="1" x14ac:dyDescent="0.35">
      <c r="B23" s="740" t="s">
        <v>10</v>
      </c>
      <c r="C23" s="741"/>
      <c r="D23" s="741"/>
      <c r="E23" s="741"/>
      <c r="F23" s="741"/>
      <c r="G23" s="741"/>
      <c r="H23" s="741"/>
      <c r="I23" s="741"/>
      <c r="J23" s="742"/>
      <c r="K23" s="8"/>
    </row>
    <row r="24" spans="2:12" ht="20.100000000000001" customHeight="1" x14ac:dyDescent="0.3">
      <c r="B24" s="3" t="s">
        <v>0</v>
      </c>
      <c r="C24" s="31" t="s">
        <v>11</v>
      </c>
      <c r="D24" s="26" t="s">
        <v>5</v>
      </c>
      <c r="E24" s="27"/>
      <c r="F24" s="27"/>
      <c r="G24" s="27"/>
      <c r="H24" s="27"/>
      <c r="I24" s="28"/>
      <c r="J24" s="32" t="s">
        <v>4</v>
      </c>
      <c r="K24" s="8"/>
    </row>
    <row r="25" spans="2:12" ht="20.100000000000001" customHeight="1" x14ac:dyDescent="0.3">
      <c r="B25" s="743" t="s">
        <v>2</v>
      </c>
      <c r="C25" s="29"/>
      <c r="D25" s="752"/>
      <c r="E25" s="753"/>
      <c r="F25" s="753"/>
      <c r="G25" s="753"/>
      <c r="H25" s="753"/>
      <c r="I25" s="754"/>
      <c r="J25" s="33"/>
      <c r="K25" s="8"/>
    </row>
    <row r="26" spans="2:12" ht="20.100000000000001" customHeight="1" x14ac:dyDescent="0.3">
      <c r="B26" s="743"/>
      <c r="C26" s="22" t="s">
        <v>65</v>
      </c>
      <c r="D26" s="750"/>
      <c r="E26" s="726"/>
      <c r="F26" s="726"/>
      <c r="G26" s="726"/>
      <c r="H26" s="726"/>
      <c r="I26" s="727"/>
      <c r="J26" s="34"/>
      <c r="K26" s="8"/>
    </row>
    <row r="27" spans="2:12" ht="20.100000000000001" customHeight="1" x14ac:dyDescent="0.3">
      <c r="B27" s="743"/>
      <c r="C27" s="21" t="s">
        <v>243</v>
      </c>
      <c r="D27" s="725"/>
      <c r="E27" s="726"/>
      <c r="F27" s="726"/>
      <c r="G27" s="726"/>
      <c r="H27" s="726"/>
      <c r="I27" s="727"/>
      <c r="J27" s="35"/>
      <c r="K27" s="8"/>
    </row>
    <row r="28" spans="2:12" ht="20.100000000000001" customHeight="1" x14ac:dyDescent="0.3">
      <c r="B28" s="743"/>
      <c r="C28" s="67"/>
      <c r="D28" s="751"/>
      <c r="E28" s="748"/>
      <c r="F28" s="748"/>
      <c r="G28" s="748"/>
      <c r="H28" s="748"/>
      <c r="I28" s="749"/>
      <c r="J28" s="36"/>
      <c r="K28" s="8"/>
    </row>
    <row r="29" spans="2:12" ht="20.100000000000001" customHeight="1" x14ac:dyDescent="0.3">
      <c r="B29" s="743"/>
      <c r="C29" s="29"/>
      <c r="D29" s="752"/>
      <c r="E29" s="753"/>
      <c r="F29" s="753"/>
      <c r="G29" s="753"/>
      <c r="H29" s="753"/>
      <c r="I29" s="754"/>
      <c r="J29" s="33"/>
      <c r="K29" s="8"/>
    </row>
    <row r="30" spans="2:12" ht="20.100000000000001" customHeight="1" x14ac:dyDescent="0.3">
      <c r="B30" s="743"/>
      <c r="C30" s="22" t="s">
        <v>47</v>
      </c>
      <c r="D30" s="750"/>
      <c r="E30" s="726"/>
      <c r="F30" s="726"/>
      <c r="G30" s="726"/>
      <c r="H30" s="726"/>
      <c r="I30" s="727"/>
      <c r="J30" s="34"/>
      <c r="K30" s="8"/>
    </row>
    <row r="31" spans="2:12" ht="20.100000000000001" customHeight="1" x14ac:dyDescent="0.3">
      <c r="B31" s="743"/>
      <c r="C31" s="21" t="s">
        <v>375</v>
      </c>
      <c r="D31" s="725"/>
      <c r="E31" s="726"/>
      <c r="F31" s="726"/>
      <c r="G31" s="726"/>
      <c r="H31" s="726"/>
      <c r="I31" s="727"/>
      <c r="J31" s="35"/>
      <c r="K31" s="8"/>
    </row>
    <row r="32" spans="2:12" ht="20.100000000000001" customHeight="1" x14ac:dyDescent="0.3">
      <c r="B32" s="743"/>
      <c r="C32" s="21"/>
      <c r="D32" s="751"/>
      <c r="E32" s="748"/>
      <c r="F32" s="748"/>
      <c r="G32" s="748"/>
      <c r="H32" s="748"/>
      <c r="I32" s="749"/>
      <c r="J32" s="35"/>
      <c r="K32" s="8"/>
      <c r="L32" s="9"/>
    </row>
    <row r="33" spans="2:13" ht="20.100000000000001" customHeight="1" x14ac:dyDescent="0.3">
      <c r="B33" s="743"/>
      <c r="C33" s="29"/>
      <c r="D33" s="752"/>
      <c r="E33" s="753"/>
      <c r="F33" s="753"/>
      <c r="G33" s="753"/>
      <c r="H33" s="753"/>
      <c r="I33" s="754"/>
      <c r="J33" s="33"/>
      <c r="K33" s="8"/>
      <c r="L33" s="9"/>
      <c r="M33" s="9"/>
    </row>
    <row r="34" spans="2:13" ht="20.100000000000001" customHeight="1" x14ac:dyDescent="0.3">
      <c r="B34" s="743"/>
      <c r="C34" s="22" t="s">
        <v>48</v>
      </c>
      <c r="D34" s="750"/>
      <c r="E34" s="726"/>
      <c r="F34" s="726"/>
      <c r="G34" s="726"/>
      <c r="H34" s="726"/>
      <c r="I34" s="727"/>
      <c r="J34" s="34"/>
      <c r="K34" s="8"/>
      <c r="L34" s="9"/>
      <c r="M34" s="9"/>
    </row>
    <row r="35" spans="2:13" ht="20.100000000000001" customHeight="1" x14ac:dyDescent="0.3">
      <c r="B35" s="743"/>
      <c r="C35" s="21" t="s">
        <v>66</v>
      </c>
      <c r="D35" s="725"/>
      <c r="E35" s="726"/>
      <c r="F35" s="726"/>
      <c r="G35" s="726"/>
      <c r="H35" s="726"/>
      <c r="I35" s="727"/>
      <c r="J35" s="35"/>
      <c r="K35" s="8"/>
      <c r="L35" s="9"/>
      <c r="M35" s="9"/>
    </row>
    <row r="36" spans="2:13" ht="20.100000000000001" customHeight="1" x14ac:dyDescent="0.3">
      <c r="B36" s="743"/>
      <c r="C36" s="67"/>
      <c r="D36" s="751"/>
      <c r="E36" s="748"/>
      <c r="F36" s="748"/>
      <c r="G36" s="748"/>
      <c r="H36" s="748"/>
      <c r="I36" s="749"/>
      <c r="J36" s="35"/>
      <c r="K36" s="8"/>
    </row>
    <row r="37" spans="2:13" ht="20.100000000000001" customHeight="1" x14ac:dyDescent="0.3">
      <c r="B37" s="743"/>
      <c r="C37" s="29"/>
      <c r="D37" s="752"/>
      <c r="E37" s="753"/>
      <c r="F37" s="753"/>
      <c r="G37" s="753"/>
      <c r="H37" s="753"/>
      <c r="I37" s="754"/>
      <c r="J37" s="33"/>
      <c r="K37" s="8"/>
    </row>
    <row r="38" spans="2:13" ht="20.100000000000001" customHeight="1" x14ac:dyDescent="0.3">
      <c r="B38" s="743"/>
      <c r="C38" s="22" t="s">
        <v>1083</v>
      </c>
      <c r="D38" s="750"/>
      <c r="E38" s="726"/>
      <c r="F38" s="726"/>
      <c r="G38" s="726"/>
      <c r="H38" s="726"/>
      <c r="I38" s="727"/>
      <c r="J38" s="34"/>
      <c r="K38" s="8"/>
    </row>
    <row r="39" spans="2:13" ht="20.100000000000001" customHeight="1" x14ac:dyDescent="0.3">
      <c r="B39" s="743"/>
      <c r="C39" s="21" t="s">
        <v>951</v>
      </c>
      <c r="D39" s="725"/>
      <c r="E39" s="726"/>
      <c r="F39" s="726"/>
      <c r="G39" s="726"/>
      <c r="H39" s="726"/>
      <c r="I39" s="727"/>
      <c r="J39" s="35"/>
      <c r="K39" s="8"/>
    </row>
    <row r="40" spans="2:13" ht="20.100000000000001" customHeight="1" x14ac:dyDescent="0.3">
      <c r="B40" s="743"/>
      <c r="C40" s="67"/>
      <c r="D40" s="751"/>
      <c r="E40" s="748"/>
      <c r="F40" s="748"/>
      <c r="G40" s="748"/>
      <c r="H40" s="748"/>
      <c r="I40" s="749"/>
      <c r="J40" s="35"/>
      <c r="K40" s="8"/>
    </row>
    <row r="41" spans="2:13" ht="20.100000000000001" customHeight="1" x14ac:dyDescent="0.3">
      <c r="B41" s="743"/>
      <c r="C41" s="29"/>
      <c r="D41" s="752"/>
      <c r="E41" s="753"/>
      <c r="F41" s="753"/>
      <c r="G41" s="753"/>
      <c r="H41" s="753"/>
      <c r="I41" s="754"/>
      <c r="J41" s="33"/>
      <c r="K41" s="8"/>
    </row>
    <row r="42" spans="2:13" ht="20.100000000000001" customHeight="1" x14ac:dyDescent="0.3">
      <c r="B42" s="743"/>
      <c r="C42" s="69" t="s">
        <v>49</v>
      </c>
      <c r="D42" s="750"/>
      <c r="E42" s="726"/>
      <c r="F42" s="726"/>
      <c r="G42" s="726"/>
      <c r="H42" s="726"/>
      <c r="I42" s="727"/>
      <c r="J42" s="34"/>
      <c r="K42" s="8"/>
    </row>
    <row r="43" spans="2:13" ht="20.100000000000001" customHeight="1" x14ac:dyDescent="0.3">
      <c r="B43" s="743"/>
      <c r="C43" s="21"/>
      <c r="D43" s="725"/>
      <c r="E43" s="726"/>
      <c r="F43" s="726"/>
      <c r="G43" s="726"/>
      <c r="H43" s="726"/>
      <c r="I43" s="727"/>
      <c r="J43" s="35"/>
      <c r="K43" s="8"/>
    </row>
    <row r="44" spans="2:13" ht="20.100000000000001" customHeight="1" x14ac:dyDescent="0.3">
      <c r="B44" s="744"/>
      <c r="C44" s="67"/>
      <c r="D44" s="751"/>
      <c r="E44" s="748"/>
      <c r="F44" s="748"/>
      <c r="G44" s="748"/>
      <c r="H44" s="748"/>
      <c r="I44" s="749"/>
      <c r="J44" s="35"/>
      <c r="K44" s="8"/>
    </row>
    <row r="45" spans="2:13" ht="20.100000000000001" customHeight="1" x14ac:dyDescent="0.3">
      <c r="B45" s="745" t="s">
        <v>50</v>
      </c>
      <c r="C45" s="68" t="s">
        <v>3</v>
      </c>
      <c r="D45" s="752" t="s">
        <v>1184</v>
      </c>
      <c r="E45" s="753"/>
      <c r="F45" s="753"/>
      <c r="G45" s="753"/>
      <c r="H45" s="753"/>
      <c r="I45" s="754"/>
      <c r="J45" s="33" t="s">
        <v>1208</v>
      </c>
      <c r="K45" s="8"/>
    </row>
    <row r="46" spans="2:13" ht="20.100000000000001" customHeight="1" x14ac:dyDescent="0.3">
      <c r="B46" s="743"/>
      <c r="C46" s="20">
        <v>4</v>
      </c>
      <c r="D46" s="750" t="s">
        <v>1193</v>
      </c>
      <c r="E46" s="726"/>
      <c r="F46" s="726"/>
      <c r="G46" s="726"/>
      <c r="H46" s="726"/>
      <c r="I46" s="727"/>
      <c r="J46" s="34" t="s">
        <v>1185</v>
      </c>
      <c r="K46" s="8"/>
    </row>
    <row r="47" spans="2:13" ht="20.100000000000001" customHeight="1" x14ac:dyDescent="0.3">
      <c r="B47" s="743"/>
      <c r="C47" s="21" t="str">
        <f>IF(C46=1,"[조용환+]",IF(C46=2,"[한만석+]",IF(C46=3,"[남정현+]",IF(C46=4,"[김광표+]","???"))))</f>
        <v>[김광표+]</v>
      </c>
      <c r="D47" s="725" t="s">
        <v>1192</v>
      </c>
      <c r="E47" s="726"/>
      <c r="F47" s="726"/>
      <c r="G47" s="726"/>
      <c r="H47" s="726"/>
      <c r="I47" s="727"/>
      <c r="J47" s="35"/>
      <c r="K47" s="8"/>
    </row>
    <row r="48" spans="2:13" ht="20.100000000000001" customHeight="1" x14ac:dyDescent="0.3">
      <c r="B48" s="743"/>
      <c r="C48" s="13"/>
      <c r="D48" s="725" t="s">
        <v>1191</v>
      </c>
      <c r="E48" s="726"/>
      <c r="F48" s="726"/>
      <c r="G48" s="726"/>
      <c r="H48" s="726"/>
      <c r="I48" s="727"/>
      <c r="J48" s="35" t="s">
        <v>1186</v>
      </c>
      <c r="K48" s="8"/>
    </row>
    <row r="49" spans="1:17" ht="20.100000000000001" customHeight="1" x14ac:dyDescent="0.3">
      <c r="B49" s="743"/>
      <c r="C49" s="13"/>
      <c r="D49" s="725" t="s">
        <v>1190</v>
      </c>
      <c r="E49" s="786"/>
      <c r="F49" s="786"/>
      <c r="G49" s="786"/>
      <c r="H49" s="786"/>
      <c r="I49" s="787"/>
      <c r="J49" s="35"/>
      <c r="K49" s="8"/>
    </row>
    <row r="50" spans="1:17" ht="20.100000000000001" customHeight="1" x14ac:dyDescent="0.3">
      <c r="B50" s="743"/>
      <c r="C50" s="13"/>
      <c r="D50" s="725" t="s">
        <v>1187</v>
      </c>
      <c r="E50" s="786"/>
      <c r="F50" s="786"/>
      <c r="G50" s="786"/>
      <c r="H50" s="786"/>
      <c r="I50" s="787"/>
      <c r="J50" s="35"/>
      <c r="K50" s="8"/>
    </row>
    <row r="51" spans="1:17" ht="20.100000000000001" customHeight="1" x14ac:dyDescent="0.3">
      <c r="B51" s="743"/>
      <c r="C51" s="13"/>
      <c r="D51" s="725" t="s">
        <v>1189</v>
      </c>
      <c r="E51" s="786"/>
      <c r="F51" s="786"/>
      <c r="G51" s="786"/>
      <c r="H51" s="786"/>
      <c r="I51" s="787"/>
      <c r="J51" s="35"/>
      <c r="K51" s="8"/>
    </row>
    <row r="52" spans="1:17" ht="20.100000000000001" customHeight="1" x14ac:dyDescent="0.3">
      <c r="B52" s="743"/>
      <c r="C52" s="13"/>
      <c r="D52" s="725" t="s">
        <v>1194</v>
      </c>
      <c r="E52" s="786"/>
      <c r="F52" s="786"/>
      <c r="G52" s="786"/>
      <c r="H52" s="786"/>
      <c r="I52" s="787"/>
      <c r="J52" s="35" t="s">
        <v>1188</v>
      </c>
      <c r="K52" s="8"/>
    </row>
    <row r="53" spans="1:17" ht="20.100000000000001" customHeight="1" x14ac:dyDescent="0.3">
      <c r="B53" s="743"/>
      <c r="C53" s="13"/>
      <c r="D53" s="725" t="s">
        <v>1195</v>
      </c>
      <c r="E53" s="786"/>
      <c r="F53" s="786"/>
      <c r="G53" s="786"/>
      <c r="H53" s="786"/>
      <c r="I53" s="787"/>
      <c r="J53" s="35"/>
      <c r="K53" s="8"/>
    </row>
    <row r="54" spans="1:17" ht="20.100000000000001" customHeight="1" x14ac:dyDescent="0.3">
      <c r="B54" s="743"/>
      <c r="C54" s="13"/>
      <c r="D54" s="725" t="s">
        <v>1196</v>
      </c>
      <c r="E54" s="786"/>
      <c r="F54" s="786"/>
      <c r="G54" s="786"/>
      <c r="H54" s="786"/>
      <c r="I54" s="787"/>
      <c r="J54" s="35"/>
      <c r="K54" s="8"/>
    </row>
    <row r="55" spans="1:17" ht="20.100000000000001" customHeight="1" x14ac:dyDescent="0.3">
      <c r="A55" s="13"/>
      <c r="B55" s="743"/>
      <c r="C55" s="13"/>
      <c r="D55" s="725" t="s">
        <v>1197</v>
      </c>
      <c r="E55" s="726"/>
      <c r="F55" s="726"/>
      <c r="G55" s="726"/>
      <c r="H55" s="726"/>
      <c r="I55" s="727"/>
      <c r="J55" s="35"/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13"/>
      <c r="D56" s="725" t="s">
        <v>1198</v>
      </c>
      <c r="E56" s="786"/>
      <c r="F56" s="786"/>
      <c r="G56" s="786"/>
      <c r="H56" s="786"/>
      <c r="I56" s="787"/>
      <c r="J56" s="35"/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13"/>
      <c r="D57" s="725" t="s">
        <v>1199</v>
      </c>
      <c r="E57" s="726"/>
      <c r="F57" s="726"/>
      <c r="G57" s="726"/>
      <c r="H57" s="726"/>
      <c r="I57" s="727"/>
      <c r="J57" s="35"/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13"/>
      <c r="D58" s="725" t="s">
        <v>1200</v>
      </c>
      <c r="E58" s="786"/>
      <c r="F58" s="786"/>
      <c r="G58" s="786"/>
      <c r="H58" s="786"/>
      <c r="I58" s="787"/>
      <c r="J58" s="35"/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13"/>
      <c r="D59" s="725" t="s">
        <v>1202</v>
      </c>
      <c r="E59" s="786"/>
      <c r="F59" s="786"/>
      <c r="G59" s="786"/>
      <c r="H59" s="786"/>
      <c r="I59" s="787"/>
      <c r="J59" s="35" t="s">
        <v>1201</v>
      </c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19"/>
      <c r="D60" s="747"/>
      <c r="E60" s="748"/>
      <c r="F60" s="748"/>
      <c r="G60" s="748"/>
      <c r="H60" s="748"/>
      <c r="I60" s="749"/>
      <c r="J60" s="36"/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22" t="s">
        <v>8</v>
      </c>
      <c r="D61" s="752" t="s">
        <v>1205</v>
      </c>
      <c r="E61" s="753"/>
      <c r="F61" s="753"/>
      <c r="G61" s="753"/>
      <c r="H61" s="753"/>
      <c r="I61" s="754"/>
      <c r="J61" s="33" t="s">
        <v>1209</v>
      </c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743"/>
      <c r="C62" s="20">
        <v>3</v>
      </c>
      <c r="D62" s="750" t="s">
        <v>1206</v>
      </c>
      <c r="E62" s="726"/>
      <c r="F62" s="726"/>
      <c r="G62" s="726"/>
      <c r="H62" s="726"/>
      <c r="I62" s="727"/>
      <c r="J62" s="34" t="s">
        <v>1210</v>
      </c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743"/>
      <c r="C63" s="21" t="str">
        <f>IF(C62=1,"[조용환+]",IF(C62=2,"[한만석+]",IF(C62=3,"[남정현+]",IF(C62=4,"[김광표+]","???"))))</f>
        <v>[남정현+]</v>
      </c>
      <c r="D63" s="725" t="s">
        <v>1207</v>
      </c>
      <c r="E63" s="726"/>
      <c r="F63" s="726"/>
      <c r="G63" s="726"/>
      <c r="H63" s="726"/>
      <c r="I63" s="727"/>
      <c r="J63" s="35" t="s">
        <v>1210</v>
      </c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743"/>
      <c r="C64" s="521"/>
      <c r="D64" s="725" t="s">
        <v>1211</v>
      </c>
      <c r="E64" s="726"/>
      <c r="F64" s="726"/>
      <c r="G64" s="726"/>
      <c r="H64" s="726"/>
      <c r="I64" s="727"/>
      <c r="J64" s="35"/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13"/>
      <c r="B65" s="743"/>
      <c r="C65" s="521"/>
      <c r="D65" s="725" t="s">
        <v>1212</v>
      </c>
      <c r="E65" s="726"/>
      <c r="F65" s="726"/>
      <c r="G65" s="726"/>
      <c r="H65" s="726"/>
      <c r="I65" s="727"/>
      <c r="J65" s="35"/>
      <c r="K65" s="8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13"/>
      <c r="B66" s="743"/>
      <c r="C66" s="521"/>
      <c r="D66" s="725" t="s">
        <v>1213</v>
      </c>
      <c r="E66" s="726"/>
      <c r="F66" s="726"/>
      <c r="G66" s="726"/>
      <c r="H66" s="726"/>
      <c r="I66" s="727"/>
      <c r="J66" s="35"/>
      <c r="K66" s="8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13"/>
      <c r="B67" s="743"/>
      <c r="C67" s="13"/>
      <c r="D67" s="725" t="s">
        <v>1214</v>
      </c>
      <c r="E67" s="726"/>
      <c r="F67" s="726"/>
      <c r="G67" s="726"/>
      <c r="H67" s="726"/>
      <c r="I67" s="727"/>
      <c r="J67" s="35"/>
      <c r="K67" s="8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13"/>
      <c r="B68" s="743"/>
      <c r="C68" s="13"/>
      <c r="D68" s="725"/>
      <c r="E68" s="726"/>
      <c r="F68" s="726"/>
      <c r="G68" s="726"/>
      <c r="H68" s="726"/>
      <c r="I68" s="727"/>
      <c r="J68" s="35"/>
      <c r="K68" s="8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13"/>
      <c r="B69" s="743"/>
      <c r="C69" s="13"/>
      <c r="D69" s="725"/>
      <c r="E69" s="726"/>
      <c r="F69" s="726"/>
      <c r="G69" s="726"/>
      <c r="H69" s="726"/>
      <c r="I69" s="727"/>
      <c r="J69" s="35"/>
      <c r="K69" s="8"/>
      <c r="L69" s="10"/>
      <c r="M69" s="10"/>
      <c r="N69" s="10"/>
      <c r="O69" s="10"/>
      <c r="P69" s="10"/>
      <c r="Q69" s="10"/>
    </row>
    <row r="70" spans="1:17" ht="20.100000000000001" customHeight="1" thickBot="1" x14ac:dyDescent="0.35">
      <c r="A70" s="13"/>
      <c r="B70" s="746"/>
      <c r="C70" s="25"/>
      <c r="D70" s="761"/>
      <c r="E70" s="762"/>
      <c r="F70" s="762"/>
      <c r="G70" s="762"/>
      <c r="H70" s="762"/>
      <c r="I70" s="763"/>
      <c r="J70" s="37"/>
      <c r="K70" s="8"/>
      <c r="L70" s="10"/>
      <c r="M70" s="10"/>
      <c r="N70" s="10"/>
      <c r="O70" s="10"/>
      <c r="P70" s="10"/>
      <c r="Q70" s="10"/>
    </row>
    <row r="71" spans="1:17" ht="20.100000000000001" customHeight="1" x14ac:dyDescent="0.3">
      <c r="A71" s="13"/>
      <c r="B71" s="23" t="s">
        <v>12</v>
      </c>
      <c r="C71" s="17"/>
      <c r="D71" s="17"/>
      <c r="E71" s="17"/>
      <c r="F71" s="17"/>
      <c r="G71" s="17"/>
      <c r="H71" s="17"/>
      <c r="I71" s="17"/>
      <c r="J71" s="17"/>
      <c r="K71" s="8"/>
      <c r="L71" s="10"/>
      <c r="M71" s="10"/>
      <c r="N71" s="10"/>
      <c r="O71" s="10"/>
      <c r="P71" s="10"/>
      <c r="Q71" s="10"/>
    </row>
    <row r="72" spans="1:17" ht="6" customHeight="1" x14ac:dyDescent="0.3">
      <c r="A72" s="13"/>
      <c r="B72" s="17"/>
      <c r="C72" s="17"/>
      <c r="D72" s="17"/>
      <c r="E72" s="17"/>
      <c r="F72" s="17"/>
      <c r="G72" s="17"/>
      <c r="H72" s="17"/>
      <c r="I72" s="17"/>
      <c r="J72" s="17"/>
      <c r="K72" s="8"/>
      <c r="L72" s="10"/>
      <c r="M72" s="10"/>
      <c r="N72" s="10"/>
      <c r="O72" s="10"/>
      <c r="P72" s="10"/>
      <c r="Q72" s="10"/>
    </row>
    <row r="73" spans="1:17" ht="18.75" customHeight="1" thickBot="1" x14ac:dyDescent="0.35">
      <c r="B73" s="1" t="s">
        <v>7</v>
      </c>
      <c r="C73" s="17"/>
      <c r="D73" s="17"/>
      <c r="E73" s="17"/>
      <c r="F73" s="17"/>
      <c r="G73" s="17"/>
      <c r="H73" s="17"/>
      <c r="I73" s="17"/>
      <c r="J73" s="18"/>
      <c r="K73" s="8"/>
      <c r="L73" s="10"/>
      <c r="M73" s="10"/>
      <c r="N73" s="10"/>
      <c r="O73" s="10"/>
      <c r="P73" s="10"/>
      <c r="Q73" s="10"/>
    </row>
    <row r="74" spans="1:17" ht="20.100000000000001" customHeight="1" x14ac:dyDescent="0.3">
      <c r="A74" s="38"/>
      <c r="B74" s="764" t="s">
        <v>1171</v>
      </c>
      <c r="C74" s="765"/>
      <c r="D74" s="765"/>
      <c r="E74" s="765"/>
      <c r="F74" s="765"/>
      <c r="G74" s="765"/>
      <c r="H74" s="765"/>
      <c r="I74" s="765"/>
      <c r="J74" s="766"/>
      <c r="K74" s="39"/>
      <c r="L74" s="10"/>
      <c r="M74" s="10"/>
      <c r="N74" s="10"/>
      <c r="O74" s="10"/>
      <c r="P74" s="10"/>
      <c r="Q74" s="10"/>
    </row>
    <row r="75" spans="1:17" ht="20.100000000000001" customHeight="1" x14ac:dyDescent="0.3">
      <c r="A75" s="38"/>
      <c r="B75" s="767"/>
      <c r="C75" s="768"/>
      <c r="D75" s="768"/>
      <c r="E75" s="768"/>
      <c r="F75" s="768"/>
      <c r="G75" s="768"/>
      <c r="H75" s="768"/>
      <c r="I75" s="768"/>
      <c r="J75" s="769"/>
      <c r="K75" s="39"/>
      <c r="L75" s="10"/>
      <c r="M75" s="10"/>
      <c r="N75" s="10"/>
      <c r="O75" s="10"/>
      <c r="P75" s="10"/>
      <c r="Q75" s="10"/>
    </row>
    <row r="76" spans="1:17" ht="20.100000000000001" customHeight="1" x14ac:dyDescent="0.3">
      <c r="A76" s="38"/>
      <c r="B76" s="755"/>
      <c r="C76" s="756"/>
      <c r="D76" s="756"/>
      <c r="E76" s="756"/>
      <c r="F76" s="756"/>
      <c r="G76" s="756"/>
      <c r="H76" s="756"/>
      <c r="I76" s="756"/>
      <c r="J76" s="757"/>
      <c r="K76" s="39"/>
      <c r="L76" s="10"/>
      <c r="M76" s="10"/>
      <c r="N76" s="10"/>
      <c r="O76" s="10"/>
      <c r="P76" s="10"/>
      <c r="Q76" s="10"/>
    </row>
    <row r="77" spans="1:17" ht="20.100000000000001" customHeight="1" x14ac:dyDescent="0.3">
      <c r="A77" s="38"/>
      <c r="B77" s="755"/>
      <c r="C77" s="756"/>
      <c r="D77" s="756"/>
      <c r="E77" s="756"/>
      <c r="F77" s="756"/>
      <c r="G77" s="756"/>
      <c r="H77" s="756"/>
      <c r="I77" s="756"/>
      <c r="J77" s="757"/>
      <c r="K77" s="39"/>
      <c r="L77" s="10"/>
      <c r="M77" s="10"/>
      <c r="N77" s="10"/>
      <c r="O77" s="10"/>
      <c r="P77" s="10"/>
      <c r="Q77" s="10"/>
    </row>
    <row r="78" spans="1:17" ht="20.100000000000001" customHeight="1" x14ac:dyDescent="0.3">
      <c r="A78" s="38"/>
      <c r="B78" s="755"/>
      <c r="C78" s="756"/>
      <c r="D78" s="756"/>
      <c r="E78" s="756"/>
      <c r="F78" s="756"/>
      <c r="G78" s="756"/>
      <c r="H78" s="756"/>
      <c r="I78" s="756"/>
      <c r="J78" s="757"/>
      <c r="K78" s="38"/>
    </row>
    <row r="79" spans="1:17" ht="20.100000000000001" customHeight="1" thickBot="1" x14ac:dyDescent="0.35">
      <c r="A79" s="38"/>
      <c r="B79" s="758"/>
      <c r="C79" s="759"/>
      <c r="D79" s="759"/>
      <c r="E79" s="759"/>
      <c r="F79" s="759"/>
      <c r="G79" s="759"/>
      <c r="H79" s="759"/>
      <c r="I79" s="759"/>
      <c r="J79" s="760"/>
      <c r="K79" s="38"/>
    </row>
    <row r="80" spans="1:17" ht="5.25" customHeight="1" x14ac:dyDescent="0.3">
      <c r="B80" s="11"/>
      <c r="C80" s="11"/>
      <c r="D80" s="11"/>
      <c r="E80" s="11"/>
      <c r="F80" s="11"/>
      <c r="G80" s="11"/>
      <c r="H80" s="11"/>
      <c r="I80" s="11"/>
      <c r="J80" s="11"/>
    </row>
    <row r="81" spans="2:10" ht="24.95" customHeight="1" x14ac:dyDescent="0.3">
      <c r="B81" s="12"/>
      <c r="C81" s="12"/>
      <c r="D81" s="12"/>
      <c r="E81" s="12"/>
      <c r="F81" s="12"/>
      <c r="G81" s="12"/>
      <c r="H81" s="12"/>
      <c r="I81" s="12"/>
      <c r="J81" s="12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ht="24.95" customHeight="1" x14ac:dyDescent="0.3">
      <c r="B83" s="13"/>
      <c r="C83" s="770"/>
      <c r="D83" s="770"/>
      <c r="E83" s="770"/>
      <c r="F83" s="770"/>
      <c r="G83" s="770"/>
      <c r="H83" s="770"/>
      <c r="I83" s="13"/>
      <c r="J83" s="13"/>
    </row>
    <row r="84" spans="2:10" ht="24.95" customHeight="1" x14ac:dyDescent="0.3">
      <c r="B84" s="13"/>
      <c r="C84" s="14"/>
      <c r="D84" s="14"/>
      <c r="E84" s="14"/>
      <c r="F84" s="14"/>
      <c r="G84" s="14"/>
      <c r="H84" s="14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ht="24.95" customHeight="1" x14ac:dyDescent="0.3">
      <c r="B86" s="13"/>
      <c r="C86" s="770"/>
      <c r="D86" s="770"/>
      <c r="E86" s="770"/>
      <c r="F86" s="770"/>
      <c r="G86" s="770"/>
      <c r="H86" s="770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ht="24.95" customHeight="1" x14ac:dyDescent="0.3">
      <c r="B88" s="13"/>
      <c r="C88" s="13"/>
      <c r="D88" s="13"/>
      <c r="E88" s="14"/>
      <c r="F88" s="14"/>
      <c r="G88" s="14"/>
      <c r="H88" s="14"/>
      <c r="I88" s="14"/>
      <c r="J88" s="14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ht="24.95" customHeight="1" x14ac:dyDescent="0.3">
      <c r="B90" s="13"/>
      <c r="C90" s="13"/>
      <c r="D90" s="14"/>
      <c r="E90" s="14"/>
      <c r="F90" s="14"/>
      <c r="G90" s="14"/>
      <c r="H90" s="14"/>
      <c r="I90" s="14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ht="24.95" customHeight="1" x14ac:dyDescent="0.3">
      <c r="B92" s="13"/>
      <c r="C92" s="13"/>
      <c r="D92" s="14"/>
      <c r="E92" s="14"/>
      <c r="F92" s="14"/>
      <c r="G92" s="14"/>
      <c r="H92" s="14"/>
      <c r="I92" s="14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3"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2:10" x14ac:dyDescent="0.3"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2:10" x14ac:dyDescent="0.3"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2:10" x14ac:dyDescent="0.3"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2:10" x14ac:dyDescent="0.3"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2:10" x14ac:dyDescent="0.3">
      <c r="B110" s="13"/>
      <c r="C110" s="13"/>
      <c r="D110" s="13"/>
      <c r="E110" s="13"/>
      <c r="F110" s="13"/>
      <c r="G110" s="13"/>
      <c r="H110" s="13"/>
      <c r="I110" s="13"/>
      <c r="J110" s="13"/>
    </row>
  </sheetData>
  <mergeCells count="74">
    <mergeCell ref="D57:I57"/>
    <mergeCell ref="D42:I42"/>
    <mergeCell ref="B14:J14"/>
    <mergeCell ref="B15:J15"/>
    <mergeCell ref="B16:J16"/>
    <mergeCell ref="D43:I43"/>
    <mergeCell ref="B20:J20"/>
    <mergeCell ref="B23:J23"/>
    <mergeCell ref="B25:B44"/>
    <mergeCell ref="D44:I44"/>
    <mergeCell ref="D35:I35"/>
    <mergeCell ref="B18:J18"/>
    <mergeCell ref="B19:J19"/>
    <mergeCell ref="D33:I33"/>
    <mergeCell ref="D34:I34"/>
    <mergeCell ref="D36:I36"/>
    <mergeCell ref="B9:J9"/>
    <mergeCell ref="B10:J10"/>
    <mergeCell ref="B11:J11"/>
    <mergeCell ref="B12:J12"/>
    <mergeCell ref="B13:J13"/>
    <mergeCell ref="B2:J2"/>
    <mergeCell ref="B3:H3"/>
    <mergeCell ref="B6:J6"/>
    <mergeCell ref="B7:J7"/>
    <mergeCell ref="B8:J8"/>
    <mergeCell ref="D68:I68"/>
    <mergeCell ref="B77:J77"/>
    <mergeCell ref="D45:I45"/>
    <mergeCell ref="D46:I46"/>
    <mergeCell ref="D47:I47"/>
    <mergeCell ref="D61:I61"/>
    <mergeCell ref="D49:I49"/>
    <mergeCell ref="D50:I50"/>
    <mergeCell ref="D51:I51"/>
    <mergeCell ref="D52:I52"/>
    <mergeCell ref="D53:I53"/>
    <mergeCell ref="D54:I54"/>
    <mergeCell ref="D56:I56"/>
    <mergeCell ref="D64:I64"/>
    <mergeCell ref="D65:I65"/>
    <mergeCell ref="D66:I66"/>
    <mergeCell ref="C86:H86"/>
    <mergeCell ref="D25:I25"/>
    <mergeCell ref="D26:I26"/>
    <mergeCell ref="D27:I27"/>
    <mergeCell ref="D28:I28"/>
    <mergeCell ref="D29:I29"/>
    <mergeCell ref="D30:I30"/>
    <mergeCell ref="D31:I31"/>
    <mergeCell ref="D32:I32"/>
    <mergeCell ref="C83:H83"/>
    <mergeCell ref="D37:I37"/>
    <mergeCell ref="D38:I38"/>
    <mergeCell ref="D39:I39"/>
    <mergeCell ref="D40:I40"/>
    <mergeCell ref="D58:I58"/>
    <mergeCell ref="D59:I59"/>
    <mergeCell ref="B17:J17"/>
    <mergeCell ref="B78:J78"/>
    <mergeCell ref="B79:J79"/>
    <mergeCell ref="D67:I67"/>
    <mergeCell ref="D70:I70"/>
    <mergeCell ref="B74:J74"/>
    <mergeCell ref="B75:J75"/>
    <mergeCell ref="B76:J76"/>
    <mergeCell ref="B45:B70"/>
    <mergeCell ref="D63:I63"/>
    <mergeCell ref="D48:I48"/>
    <mergeCell ref="D60:I60"/>
    <mergeCell ref="D62:I62"/>
    <mergeCell ref="D55:I55"/>
    <mergeCell ref="D41:I41"/>
    <mergeCell ref="D69:I69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50" fitToHeight="99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Q111"/>
  <sheetViews>
    <sheetView showGridLines="0" view="pageBreakPreview" topLeftCell="A50" zoomScale="85" zoomScaleNormal="100" zoomScaleSheetLayoutView="85" workbookViewId="0">
      <selection activeCell="B77" sqref="B77:J77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'08'!B3+1</f>
        <v>46274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1215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 t="s">
        <v>1216</v>
      </c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1" t="s">
        <v>1217</v>
      </c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731" t="s">
        <v>1218</v>
      </c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 t="s">
        <v>1219</v>
      </c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4" t="s">
        <v>1220</v>
      </c>
      <c r="C11" s="735"/>
      <c r="D11" s="735"/>
      <c r="E11" s="735"/>
      <c r="F11" s="735"/>
      <c r="G11" s="735"/>
      <c r="H11" s="735"/>
      <c r="I11" s="735"/>
      <c r="J11" s="736"/>
    </row>
    <row r="12" spans="2:10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0" ht="20.100000000000001" customHeight="1" x14ac:dyDescent="0.3">
      <c r="B13" s="731" t="s">
        <v>1221</v>
      </c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31" t="s">
        <v>1225</v>
      </c>
      <c r="C14" s="732"/>
      <c r="D14" s="732"/>
      <c r="E14" s="732"/>
      <c r="F14" s="732"/>
      <c r="G14" s="732"/>
      <c r="H14" s="732"/>
      <c r="I14" s="732"/>
      <c r="J14" s="733"/>
    </row>
    <row r="15" spans="2:10" ht="20.100000000000001" customHeight="1" x14ac:dyDescent="0.3">
      <c r="B15" s="734" t="s">
        <v>1222</v>
      </c>
      <c r="C15" s="735"/>
      <c r="D15" s="735"/>
      <c r="E15" s="735"/>
      <c r="F15" s="735"/>
      <c r="G15" s="735"/>
      <c r="H15" s="735"/>
      <c r="I15" s="735"/>
      <c r="J15" s="736"/>
    </row>
    <row r="16" spans="2:10" ht="29.25" customHeight="1" x14ac:dyDescent="0.3">
      <c r="B16" s="780" t="s">
        <v>1224</v>
      </c>
      <c r="C16" s="781"/>
      <c r="D16" s="781"/>
      <c r="E16" s="781"/>
      <c r="F16" s="781"/>
      <c r="G16" s="781"/>
      <c r="H16" s="781"/>
      <c r="I16" s="781"/>
      <c r="J16" s="782"/>
    </row>
    <row r="17" spans="2:12" ht="20.100000000000001" customHeight="1" x14ac:dyDescent="0.3">
      <c r="B17" s="776" t="s">
        <v>1223</v>
      </c>
      <c r="C17" s="735"/>
      <c r="D17" s="735"/>
      <c r="E17" s="735"/>
      <c r="F17" s="735"/>
      <c r="G17" s="735"/>
      <c r="H17" s="735"/>
      <c r="I17" s="735"/>
      <c r="J17" s="736"/>
    </row>
    <row r="18" spans="2:12" ht="20.100000000000001" customHeight="1" x14ac:dyDescent="0.3">
      <c r="B18" s="785"/>
      <c r="C18" s="732"/>
      <c r="D18" s="732"/>
      <c r="E18" s="732"/>
      <c r="F18" s="732"/>
      <c r="G18" s="732"/>
      <c r="H18" s="732"/>
      <c r="I18" s="732"/>
      <c r="J18" s="733"/>
    </row>
    <row r="19" spans="2:12" ht="20.100000000000001" customHeight="1" x14ac:dyDescent="0.3">
      <c r="B19" s="731"/>
      <c r="C19" s="732"/>
      <c r="D19" s="732"/>
      <c r="E19" s="732"/>
      <c r="F19" s="732"/>
      <c r="G19" s="732"/>
      <c r="H19" s="732"/>
      <c r="I19" s="732"/>
      <c r="J19" s="733"/>
    </row>
    <row r="20" spans="2:12" ht="7.5" customHeight="1" thickBot="1" x14ac:dyDescent="0.35">
      <c r="B20" s="737"/>
      <c r="C20" s="738"/>
      <c r="D20" s="738"/>
      <c r="E20" s="738"/>
      <c r="F20" s="738"/>
      <c r="G20" s="738"/>
      <c r="H20" s="738"/>
      <c r="I20" s="738"/>
      <c r="J20" s="739"/>
    </row>
    <row r="21" spans="2:12" ht="21.75" customHeight="1" x14ac:dyDescent="0.3">
      <c r="B21" s="16"/>
      <c r="C21" s="16"/>
      <c r="D21" s="16"/>
      <c r="E21" s="16"/>
      <c r="F21" s="16"/>
      <c r="G21" s="16"/>
      <c r="H21" s="16"/>
      <c r="I21" s="16"/>
      <c r="J21" s="16"/>
    </row>
    <row r="22" spans="2:12" ht="23.1" customHeight="1" thickBot="1" x14ac:dyDescent="0.35">
      <c r="B22" s="1" t="s">
        <v>1</v>
      </c>
      <c r="I22" s="2"/>
      <c r="J22" s="24" t="s">
        <v>9</v>
      </c>
    </row>
    <row r="23" spans="2:12" ht="24.95" customHeight="1" thickBot="1" x14ac:dyDescent="0.35">
      <c r="B23" s="740" t="s">
        <v>10</v>
      </c>
      <c r="C23" s="741"/>
      <c r="D23" s="741"/>
      <c r="E23" s="741"/>
      <c r="F23" s="741"/>
      <c r="G23" s="741"/>
      <c r="H23" s="741"/>
      <c r="I23" s="741"/>
      <c r="J23" s="742"/>
      <c r="K23" s="8"/>
    </row>
    <row r="24" spans="2:12" ht="20.100000000000001" customHeight="1" x14ac:dyDescent="0.3">
      <c r="B24" s="3" t="s">
        <v>0</v>
      </c>
      <c r="C24" s="31" t="s">
        <v>11</v>
      </c>
      <c r="D24" s="26" t="s">
        <v>5</v>
      </c>
      <c r="E24" s="27"/>
      <c r="F24" s="27"/>
      <c r="G24" s="27"/>
      <c r="H24" s="27"/>
      <c r="I24" s="28"/>
      <c r="J24" s="32" t="s">
        <v>4</v>
      </c>
      <c r="K24" s="8"/>
    </row>
    <row r="25" spans="2:12" ht="20.100000000000001" customHeight="1" x14ac:dyDescent="0.3">
      <c r="B25" s="743" t="s">
        <v>2</v>
      </c>
      <c r="C25" s="29"/>
      <c r="D25" s="752"/>
      <c r="E25" s="753"/>
      <c r="F25" s="753"/>
      <c r="G25" s="753"/>
      <c r="H25" s="753"/>
      <c r="I25" s="754"/>
      <c r="J25" s="33"/>
      <c r="K25" s="8"/>
    </row>
    <row r="26" spans="2:12" ht="20.100000000000001" customHeight="1" x14ac:dyDescent="0.3">
      <c r="B26" s="743"/>
      <c r="C26" s="22" t="s">
        <v>65</v>
      </c>
      <c r="D26" s="750"/>
      <c r="E26" s="726"/>
      <c r="F26" s="726"/>
      <c r="G26" s="726"/>
      <c r="H26" s="726"/>
      <c r="I26" s="727"/>
      <c r="J26" s="34"/>
      <c r="K26" s="8"/>
    </row>
    <row r="27" spans="2:12" ht="20.100000000000001" customHeight="1" x14ac:dyDescent="0.3">
      <c r="B27" s="743"/>
      <c r="C27" s="21" t="s">
        <v>243</v>
      </c>
      <c r="D27" s="725"/>
      <c r="E27" s="726"/>
      <c r="F27" s="726"/>
      <c r="G27" s="726"/>
      <c r="H27" s="726"/>
      <c r="I27" s="727"/>
      <c r="J27" s="35"/>
      <c r="K27" s="8"/>
    </row>
    <row r="28" spans="2:12" ht="20.100000000000001" customHeight="1" x14ac:dyDescent="0.3">
      <c r="B28" s="743"/>
      <c r="C28" s="67"/>
      <c r="D28" s="751"/>
      <c r="E28" s="748"/>
      <c r="F28" s="748"/>
      <c r="G28" s="748"/>
      <c r="H28" s="748"/>
      <c r="I28" s="749"/>
      <c r="J28" s="36"/>
      <c r="K28" s="8"/>
    </row>
    <row r="29" spans="2:12" ht="20.100000000000001" customHeight="1" x14ac:dyDescent="0.3">
      <c r="B29" s="743"/>
      <c r="C29" s="29"/>
      <c r="D29" s="752"/>
      <c r="E29" s="753"/>
      <c r="F29" s="753"/>
      <c r="G29" s="753"/>
      <c r="H29" s="753"/>
      <c r="I29" s="754"/>
      <c r="J29" s="33"/>
      <c r="K29" s="8"/>
    </row>
    <row r="30" spans="2:12" ht="20.100000000000001" customHeight="1" x14ac:dyDescent="0.3">
      <c r="B30" s="743"/>
      <c r="C30" s="22" t="s">
        <v>47</v>
      </c>
      <c r="D30" s="750"/>
      <c r="E30" s="726"/>
      <c r="F30" s="726"/>
      <c r="G30" s="726"/>
      <c r="H30" s="726"/>
      <c r="I30" s="727"/>
      <c r="J30" s="34"/>
      <c r="K30" s="8"/>
    </row>
    <row r="31" spans="2:12" ht="20.100000000000001" customHeight="1" x14ac:dyDescent="0.3">
      <c r="B31" s="743"/>
      <c r="C31" s="21" t="s">
        <v>375</v>
      </c>
      <c r="D31" s="725"/>
      <c r="E31" s="726"/>
      <c r="F31" s="726"/>
      <c r="G31" s="726"/>
      <c r="H31" s="726"/>
      <c r="I31" s="727"/>
      <c r="J31" s="35"/>
      <c r="K31" s="8"/>
    </row>
    <row r="32" spans="2:12" ht="20.100000000000001" customHeight="1" x14ac:dyDescent="0.3">
      <c r="B32" s="743"/>
      <c r="C32" s="21"/>
      <c r="D32" s="751"/>
      <c r="E32" s="748"/>
      <c r="F32" s="748"/>
      <c r="G32" s="748"/>
      <c r="H32" s="748"/>
      <c r="I32" s="749"/>
      <c r="J32" s="35"/>
      <c r="K32" s="8"/>
      <c r="L32" s="9"/>
    </row>
    <row r="33" spans="2:13" ht="20.100000000000001" customHeight="1" x14ac:dyDescent="0.3">
      <c r="B33" s="743"/>
      <c r="C33" s="29"/>
      <c r="D33" s="788" t="s">
        <v>1226</v>
      </c>
      <c r="E33" s="789"/>
      <c r="F33" s="789"/>
      <c r="G33" s="789"/>
      <c r="H33" s="789"/>
      <c r="I33" s="790"/>
      <c r="J33" s="33"/>
      <c r="K33" s="8"/>
      <c r="L33" s="9"/>
      <c r="M33" s="9"/>
    </row>
    <row r="34" spans="2:13" ht="20.100000000000001" customHeight="1" x14ac:dyDescent="0.3">
      <c r="B34" s="743"/>
      <c r="C34" s="22" t="s">
        <v>48</v>
      </c>
      <c r="D34" s="791" t="s">
        <v>1227</v>
      </c>
      <c r="E34" s="792"/>
      <c r="F34" s="792"/>
      <c r="G34" s="792"/>
      <c r="H34" s="792"/>
      <c r="I34" s="793"/>
      <c r="J34" s="34"/>
      <c r="K34" s="8"/>
      <c r="L34" s="9"/>
      <c r="M34" s="9"/>
    </row>
    <row r="35" spans="2:13" ht="20.100000000000001" customHeight="1" x14ac:dyDescent="0.3">
      <c r="B35" s="743"/>
      <c r="C35" s="21" t="s">
        <v>66</v>
      </c>
      <c r="D35" s="794" t="s">
        <v>1228</v>
      </c>
      <c r="E35" s="792"/>
      <c r="F35" s="792"/>
      <c r="G35" s="792"/>
      <c r="H35" s="792"/>
      <c r="I35" s="793"/>
      <c r="J35" s="35"/>
      <c r="K35" s="8"/>
      <c r="L35" s="9"/>
      <c r="M35" s="9"/>
    </row>
    <row r="36" spans="2:13" ht="20.100000000000001" customHeight="1" x14ac:dyDescent="0.3">
      <c r="B36" s="743"/>
      <c r="C36" s="67"/>
      <c r="D36" s="751" t="s">
        <v>1229</v>
      </c>
      <c r="E36" s="748"/>
      <c r="F36" s="748"/>
      <c r="G36" s="748"/>
      <c r="H36" s="748"/>
      <c r="I36" s="749"/>
      <c r="J36" s="35"/>
      <c r="K36" s="8"/>
    </row>
    <row r="37" spans="2:13" ht="20.100000000000001" customHeight="1" x14ac:dyDescent="0.3">
      <c r="B37" s="743"/>
      <c r="C37" s="29"/>
      <c r="D37" s="752"/>
      <c r="E37" s="753"/>
      <c r="F37" s="753"/>
      <c r="G37" s="753"/>
      <c r="H37" s="753"/>
      <c r="I37" s="754"/>
      <c r="J37" s="33"/>
      <c r="K37" s="8"/>
    </row>
    <row r="38" spans="2:13" ht="20.100000000000001" customHeight="1" x14ac:dyDescent="0.3">
      <c r="B38" s="743"/>
      <c r="C38" s="22" t="s">
        <v>1083</v>
      </c>
      <c r="D38" s="750"/>
      <c r="E38" s="726"/>
      <c r="F38" s="726"/>
      <c r="G38" s="726"/>
      <c r="H38" s="726"/>
      <c r="I38" s="727"/>
      <c r="J38" s="34"/>
      <c r="K38" s="8"/>
    </row>
    <row r="39" spans="2:13" ht="20.100000000000001" customHeight="1" x14ac:dyDescent="0.3">
      <c r="B39" s="743"/>
      <c r="C39" s="21" t="s">
        <v>951</v>
      </c>
      <c r="D39" s="725"/>
      <c r="E39" s="726"/>
      <c r="F39" s="726"/>
      <c r="G39" s="726"/>
      <c r="H39" s="726"/>
      <c r="I39" s="727"/>
      <c r="J39" s="35"/>
      <c r="K39" s="8"/>
    </row>
    <row r="40" spans="2:13" ht="20.100000000000001" customHeight="1" x14ac:dyDescent="0.3">
      <c r="B40" s="743"/>
      <c r="C40" s="67"/>
      <c r="D40" s="751"/>
      <c r="E40" s="748"/>
      <c r="F40" s="748"/>
      <c r="G40" s="748"/>
      <c r="H40" s="748"/>
      <c r="I40" s="749"/>
      <c r="J40" s="35"/>
      <c r="K40" s="8"/>
    </row>
    <row r="41" spans="2:13" ht="20.100000000000001" customHeight="1" x14ac:dyDescent="0.3">
      <c r="B41" s="743"/>
      <c r="C41" s="29"/>
      <c r="D41" s="752"/>
      <c r="E41" s="753"/>
      <c r="F41" s="753"/>
      <c r="G41" s="753"/>
      <c r="H41" s="753"/>
      <c r="I41" s="754"/>
      <c r="J41" s="33"/>
      <c r="K41" s="8"/>
    </row>
    <row r="42" spans="2:13" ht="20.100000000000001" customHeight="1" x14ac:dyDescent="0.3">
      <c r="B42" s="743"/>
      <c r="C42" s="69" t="s">
        <v>49</v>
      </c>
      <c r="D42" s="750"/>
      <c r="E42" s="726"/>
      <c r="F42" s="726"/>
      <c r="G42" s="726"/>
      <c r="H42" s="726"/>
      <c r="I42" s="727"/>
      <c r="J42" s="34"/>
      <c r="K42" s="8"/>
    </row>
    <row r="43" spans="2:13" ht="20.100000000000001" customHeight="1" x14ac:dyDescent="0.3">
      <c r="B43" s="743"/>
      <c r="C43" s="21"/>
      <c r="D43" s="725"/>
      <c r="E43" s="726"/>
      <c r="F43" s="726"/>
      <c r="G43" s="726"/>
      <c r="H43" s="726"/>
      <c r="I43" s="727"/>
      <c r="J43" s="35"/>
      <c r="K43" s="8"/>
    </row>
    <row r="44" spans="2:13" ht="20.100000000000001" customHeight="1" x14ac:dyDescent="0.3">
      <c r="B44" s="744"/>
      <c r="C44" s="67"/>
      <c r="D44" s="751"/>
      <c r="E44" s="748"/>
      <c r="F44" s="748"/>
      <c r="G44" s="748"/>
      <c r="H44" s="748"/>
      <c r="I44" s="749"/>
      <c r="J44" s="35"/>
      <c r="K44" s="8"/>
    </row>
    <row r="45" spans="2:13" ht="20.100000000000001" customHeight="1" x14ac:dyDescent="0.3">
      <c r="B45" s="745" t="s">
        <v>50</v>
      </c>
      <c r="C45" s="68" t="s">
        <v>3</v>
      </c>
      <c r="D45" s="752" t="s">
        <v>1230</v>
      </c>
      <c r="E45" s="753"/>
      <c r="F45" s="753"/>
      <c r="G45" s="753"/>
      <c r="H45" s="753"/>
      <c r="I45" s="754"/>
      <c r="J45" s="33" t="s">
        <v>1234</v>
      </c>
      <c r="K45" s="8"/>
    </row>
    <row r="46" spans="2:13" ht="20.100000000000001" customHeight="1" x14ac:dyDescent="0.3">
      <c r="B46" s="743"/>
      <c r="C46" s="20">
        <v>2</v>
      </c>
      <c r="D46" s="750" t="s">
        <v>1231</v>
      </c>
      <c r="E46" s="726"/>
      <c r="F46" s="726"/>
      <c r="G46" s="726"/>
      <c r="H46" s="726"/>
      <c r="I46" s="727"/>
      <c r="J46" s="34" t="s">
        <v>1235</v>
      </c>
      <c r="K46" s="8"/>
    </row>
    <row r="47" spans="2:13" ht="20.100000000000001" customHeight="1" x14ac:dyDescent="0.3">
      <c r="B47" s="743"/>
      <c r="C47" s="21" t="str">
        <f>IF(C46=1,"[조용환+]",IF(C46=2,"[한만석+]",IF(C46=3,"[남정현+]",IF(C46=4,"[김광표+]","???"))))</f>
        <v>[한만석+]</v>
      </c>
      <c r="D47" s="725" t="s">
        <v>1232</v>
      </c>
      <c r="E47" s="726"/>
      <c r="F47" s="726"/>
      <c r="G47" s="726"/>
      <c r="H47" s="726"/>
      <c r="I47" s="727"/>
      <c r="J47" s="35" t="s">
        <v>1236</v>
      </c>
      <c r="K47" s="8"/>
    </row>
    <row r="48" spans="2:13" ht="20.100000000000001" customHeight="1" x14ac:dyDescent="0.3">
      <c r="B48" s="743"/>
      <c r="C48" s="13"/>
      <c r="D48" s="725" t="s">
        <v>1233</v>
      </c>
      <c r="E48" s="726"/>
      <c r="F48" s="726"/>
      <c r="G48" s="726"/>
      <c r="H48" s="726"/>
      <c r="I48" s="727"/>
      <c r="J48" s="35" t="s">
        <v>1237</v>
      </c>
      <c r="K48" s="8"/>
    </row>
    <row r="49" spans="1:17" ht="20.100000000000001" customHeight="1" x14ac:dyDescent="0.3">
      <c r="B49" s="743"/>
      <c r="C49" s="13"/>
      <c r="D49" s="725" t="s">
        <v>1239</v>
      </c>
      <c r="E49" s="726"/>
      <c r="F49" s="726"/>
      <c r="G49" s="726"/>
      <c r="H49" s="726"/>
      <c r="I49" s="727"/>
      <c r="J49" s="35"/>
      <c r="K49" s="8"/>
    </row>
    <row r="50" spans="1:17" ht="20.100000000000001" customHeight="1" x14ac:dyDescent="0.3">
      <c r="B50" s="743"/>
      <c r="C50" s="13"/>
      <c r="D50" s="725" t="s">
        <v>1249</v>
      </c>
      <c r="E50" s="726"/>
      <c r="F50" s="726"/>
      <c r="G50" s="726"/>
      <c r="H50" s="726"/>
      <c r="I50" s="727"/>
      <c r="J50" s="35"/>
      <c r="K50" s="8"/>
    </row>
    <row r="51" spans="1:17" ht="20.100000000000001" customHeight="1" x14ac:dyDescent="0.3">
      <c r="B51" s="743"/>
      <c r="C51" s="13"/>
      <c r="D51" s="725" t="s">
        <v>1243</v>
      </c>
      <c r="E51" s="726"/>
      <c r="F51" s="726"/>
      <c r="G51" s="726"/>
      <c r="H51" s="726"/>
      <c r="I51" s="727"/>
      <c r="J51" s="35"/>
      <c r="K51" s="8"/>
    </row>
    <row r="52" spans="1:17" ht="20.100000000000001" customHeight="1" x14ac:dyDescent="0.3">
      <c r="B52" s="743"/>
      <c r="C52" s="13"/>
      <c r="D52" s="725" t="s">
        <v>1244</v>
      </c>
      <c r="E52" s="726"/>
      <c r="F52" s="726"/>
      <c r="G52" s="726"/>
      <c r="H52" s="726"/>
      <c r="I52" s="727"/>
      <c r="J52" s="35"/>
      <c r="K52" s="8"/>
    </row>
    <row r="53" spans="1:17" ht="20.100000000000001" customHeight="1" x14ac:dyDescent="0.3">
      <c r="B53" s="743"/>
      <c r="C53" s="13"/>
      <c r="D53" s="725" t="s">
        <v>1245</v>
      </c>
      <c r="E53" s="726"/>
      <c r="F53" s="726"/>
      <c r="G53" s="726"/>
      <c r="H53" s="726"/>
      <c r="I53" s="727"/>
      <c r="J53" s="35"/>
      <c r="K53" s="8"/>
    </row>
    <row r="54" spans="1:17" ht="20.100000000000001" customHeight="1" x14ac:dyDescent="0.3">
      <c r="B54" s="743"/>
      <c r="C54" s="13"/>
      <c r="D54" s="725" t="s">
        <v>1246</v>
      </c>
      <c r="E54" s="726"/>
      <c r="F54" s="726"/>
      <c r="G54" s="726"/>
      <c r="H54" s="726"/>
      <c r="I54" s="727"/>
      <c r="J54" s="35"/>
      <c r="K54" s="8"/>
    </row>
    <row r="55" spans="1:17" ht="20.100000000000001" customHeight="1" x14ac:dyDescent="0.3">
      <c r="B55" s="743"/>
      <c r="C55" s="13"/>
      <c r="D55" s="728" t="s">
        <v>1247</v>
      </c>
      <c r="E55" s="729"/>
      <c r="F55" s="729"/>
      <c r="G55" s="729"/>
      <c r="H55" s="729"/>
      <c r="I55" s="730"/>
      <c r="J55" s="35"/>
      <c r="K55" s="8"/>
    </row>
    <row r="56" spans="1:17" ht="20.100000000000001" customHeight="1" x14ac:dyDescent="0.3">
      <c r="B56" s="743"/>
      <c r="C56" s="13"/>
      <c r="D56" s="725" t="s">
        <v>1242</v>
      </c>
      <c r="E56" s="726"/>
      <c r="F56" s="726"/>
      <c r="G56" s="726"/>
      <c r="H56" s="726"/>
      <c r="I56" s="727"/>
      <c r="J56" s="35" t="s">
        <v>1241</v>
      </c>
      <c r="K56" s="8"/>
    </row>
    <row r="57" spans="1:17" ht="20.100000000000001" customHeight="1" x14ac:dyDescent="0.3">
      <c r="A57" s="13"/>
      <c r="B57" s="743"/>
      <c r="C57" s="13"/>
      <c r="D57" s="725" t="s">
        <v>1240</v>
      </c>
      <c r="E57" s="726"/>
      <c r="F57" s="726"/>
      <c r="G57" s="726"/>
      <c r="H57" s="726"/>
      <c r="I57" s="727"/>
      <c r="J57" s="35"/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13"/>
      <c r="D58" s="725" t="s">
        <v>1238</v>
      </c>
      <c r="E58" s="726"/>
      <c r="F58" s="726"/>
      <c r="G58" s="726"/>
      <c r="H58" s="726"/>
      <c r="I58" s="727"/>
      <c r="J58" s="35"/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19"/>
      <c r="D59" s="747" t="s">
        <v>1248</v>
      </c>
      <c r="E59" s="748"/>
      <c r="F59" s="748"/>
      <c r="G59" s="748"/>
      <c r="H59" s="748"/>
      <c r="I59" s="749"/>
      <c r="J59" s="36"/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22" t="s">
        <v>8</v>
      </c>
      <c r="D60" s="752" t="s">
        <v>1250</v>
      </c>
      <c r="E60" s="753"/>
      <c r="F60" s="753"/>
      <c r="G60" s="753"/>
      <c r="H60" s="753"/>
      <c r="I60" s="754"/>
      <c r="J60" s="33" t="s">
        <v>1237</v>
      </c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20">
        <v>1</v>
      </c>
      <c r="D61" s="750" t="s">
        <v>1251</v>
      </c>
      <c r="E61" s="726"/>
      <c r="F61" s="726"/>
      <c r="G61" s="726"/>
      <c r="H61" s="726"/>
      <c r="I61" s="727"/>
      <c r="J61" s="34"/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743"/>
      <c r="C62" s="21" t="str">
        <f>IF(C61=1,"[조용환+]",IF(C61=2,"[한만석+]",IF(C61=3,"[남정현+]",IF(C61=4,"[김광표+]","???"))))</f>
        <v>[조용환+]</v>
      </c>
      <c r="D62" s="725" t="s">
        <v>1252</v>
      </c>
      <c r="E62" s="726"/>
      <c r="F62" s="726"/>
      <c r="G62" s="726"/>
      <c r="H62" s="726"/>
      <c r="I62" s="727"/>
      <c r="J62" s="35"/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743"/>
      <c r="C63" s="13"/>
      <c r="D63" s="725" t="s">
        <v>1253</v>
      </c>
      <c r="E63" s="726"/>
      <c r="F63" s="726"/>
      <c r="G63" s="726"/>
      <c r="H63" s="726"/>
      <c r="I63" s="727"/>
      <c r="J63" s="35"/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743"/>
      <c r="C64" s="13"/>
      <c r="D64" s="725" t="s">
        <v>1254</v>
      </c>
      <c r="E64" s="726"/>
      <c r="F64" s="726"/>
      <c r="G64" s="726"/>
      <c r="H64" s="726"/>
      <c r="I64" s="727"/>
      <c r="J64" s="35"/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13"/>
      <c r="B65" s="743"/>
      <c r="C65" s="13"/>
      <c r="D65" s="725" t="s">
        <v>1255</v>
      </c>
      <c r="E65" s="726"/>
      <c r="F65" s="726"/>
      <c r="G65" s="726"/>
      <c r="H65" s="726"/>
      <c r="I65" s="727"/>
      <c r="J65" s="35"/>
      <c r="K65" s="8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13"/>
      <c r="B66" s="743"/>
      <c r="C66" s="13"/>
      <c r="D66" s="725" t="s">
        <v>1256</v>
      </c>
      <c r="E66" s="726"/>
      <c r="F66" s="726"/>
      <c r="G66" s="726"/>
      <c r="H66" s="726"/>
      <c r="I66" s="727"/>
      <c r="J66" s="35"/>
      <c r="K66" s="8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13"/>
      <c r="B67" s="743"/>
      <c r="C67" s="13"/>
      <c r="D67" s="725" t="s">
        <v>1257</v>
      </c>
      <c r="E67" s="726"/>
      <c r="F67" s="726"/>
      <c r="G67" s="726"/>
      <c r="H67" s="726"/>
      <c r="I67" s="727"/>
      <c r="J67" s="35" t="s">
        <v>1260</v>
      </c>
      <c r="K67" s="8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13"/>
      <c r="B68" s="743"/>
      <c r="C68" s="13"/>
      <c r="D68" s="725" t="s">
        <v>1258</v>
      </c>
      <c r="E68" s="726"/>
      <c r="F68" s="726"/>
      <c r="G68" s="726"/>
      <c r="H68" s="726"/>
      <c r="I68" s="727"/>
      <c r="J68" s="35" t="s">
        <v>969</v>
      </c>
      <c r="K68" s="8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13"/>
      <c r="B69" s="743"/>
      <c r="C69" s="13"/>
      <c r="D69" s="725" t="s">
        <v>1259</v>
      </c>
      <c r="E69" s="726"/>
      <c r="F69" s="726"/>
      <c r="G69" s="726"/>
      <c r="H69" s="726"/>
      <c r="I69" s="727"/>
      <c r="J69" s="35" t="s">
        <v>969</v>
      </c>
      <c r="K69" s="8"/>
      <c r="L69" s="10"/>
      <c r="M69" s="10"/>
      <c r="N69" s="10"/>
      <c r="O69" s="10"/>
      <c r="P69" s="10"/>
      <c r="Q69" s="10"/>
    </row>
    <row r="70" spans="1:17" ht="20.100000000000001" customHeight="1" x14ac:dyDescent="0.3">
      <c r="A70" s="13"/>
      <c r="B70" s="743"/>
      <c r="C70" s="13"/>
      <c r="D70" s="725" t="s">
        <v>1261</v>
      </c>
      <c r="E70" s="726"/>
      <c r="F70" s="726"/>
      <c r="G70" s="726"/>
      <c r="H70" s="726"/>
      <c r="I70" s="727"/>
      <c r="J70" s="35" t="s">
        <v>969</v>
      </c>
      <c r="K70" s="8"/>
      <c r="L70" s="10"/>
      <c r="M70" s="10"/>
      <c r="N70" s="10"/>
      <c r="O70" s="10"/>
      <c r="P70" s="10"/>
      <c r="Q70" s="10"/>
    </row>
    <row r="71" spans="1:17" ht="20.100000000000001" customHeight="1" thickBot="1" x14ac:dyDescent="0.35">
      <c r="A71" s="13"/>
      <c r="B71" s="746"/>
      <c r="C71" s="25"/>
      <c r="D71" s="761"/>
      <c r="E71" s="762"/>
      <c r="F71" s="762"/>
      <c r="G71" s="762"/>
      <c r="H71" s="762"/>
      <c r="I71" s="763"/>
      <c r="J71" s="37"/>
      <c r="K71" s="8"/>
      <c r="L71" s="10"/>
      <c r="M71" s="10"/>
      <c r="N71" s="10"/>
      <c r="O71" s="10"/>
      <c r="P71" s="10"/>
      <c r="Q71" s="10"/>
    </row>
    <row r="72" spans="1:17" ht="20.100000000000001" customHeight="1" x14ac:dyDescent="0.3">
      <c r="A72" s="13"/>
      <c r="B72" s="23" t="s">
        <v>12</v>
      </c>
      <c r="C72" s="17"/>
      <c r="D72" s="17"/>
      <c r="E72" s="17"/>
      <c r="F72" s="17"/>
      <c r="G72" s="17"/>
      <c r="H72" s="17"/>
      <c r="I72" s="17"/>
      <c r="J72" s="17"/>
      <c r="K72" s="8"/>
      <c r="L72" s="10"/>
      <c r="M72" s="10"/>
      <c r="N72" s="10"/>
      <c r="O72" s="10"/>
      <c r="P72" s="10"/>
      <c r="Q72" s="10"/>
    </row>
    <row r="73" spans="1:17" ht="6" customHeight="1" x14ac:dyDescent="0.3">
      <c r="A73" s="13"/>
      <c r="B73" s="17"/>
      <c r="C73" s="17"/>
      <c r="D73" s="17"/>
      <c r="E73" s="17"/>
      <c r="F73" s="17"/>
      <c r="G73" s="17"/>
      <c r="H73" s="17"/>
      <c r="I73" s="17"/>
      <c r="J73" s="17"/>
      <c r="K73" s="8"/>
      <c r="L73" s="10"/>
      <c r="M73" s="10"/>
      <c r="N73" s="10"/>
      <c r="O73" s="10"/>
      <c r="P73" s="10"/>
      <c r="Q73" s="10"/>
    </row>
    <row r="74" spans="1:17" ht="18.75" customHeight="1" thickBot="1" x14ac:dyDescent="0.35">
      <c r="B74" s="1" t="s">
        <v>7</v>
      </c>
      <c r="C74" s="17"/>
      <c r="D74" s="17"/>
      <c r="E74" s="17"/>
      <c r="F74" s="17"/>
      <c r="G74" s="17"/>
      <c r="H74" s="17"/>
      <c r="I74" s="17"/>
      <c r="J74" s="18"/>
      <c r="K74" s="8"/>
      <c r="L74" s="10"/>
      <c r="M74" s="10"/>
      <c r="N74" s="10"/>
      <c r="O74" s="10"/>
      <c r="P74" s="10"/>
      <c r="Q74" s="10"/>
    </row>
    <row r="75" spans="1:17" ht="20.100000000000001" customHeight="1" x14ac:dyDescent="0.3">
      <c r="A75" s="38"/>
      <c r="B75" s="764"/>
      <c r="C75" s="765"/>
      <c r="D75" s="765"/>
      <c r="E75" s="765"/>
      <c r="F75" s="765"/>
      <c r="G75" s="765"/>
      <c r="H75" s="765"/>
      <c r="I75" s="765"/>
      <c r="J75" s="766"/>
      <c r="K75" s="39"/>
      <c r="L75" s="10"/>
      <c r="M75" s="10"/>
      <c r="N75" s="10"/>
      <c r="O75" s="10"/>
      <c r="P75" s="10"/>
      <c r="Q75" s="10"/>
    </row>
    <row r="76" spans="1:17" ht="20.100000000000001" customHeight="1" x14ac:dyDescent="0.3">
      <c r="A76" s="38"/>
      <c r="B76" s="767" t="s">
        <v>1028</v>
      </c>
      <c r="C76" s="768"/>
      <c r="D76" s="768"/>
      <c r="E76" s="768"/>
      <c r="F76" s="768"/>
      <c r="G76" s="768"/>
      <c r="H76" s="768"/>
      <c r="I76" s="768"/>
      <c r="J76" s="769"/>
      <c r="K76" s="39"/>
      <c r="L76" s="10"/>
      <c r="M76" s="10"/>
      <c r="N76" s="10"/>
      <c r="O76" s="10"/>
      <c r="P76" s="10"/>
      <c r="Q76" s="10"/>
    </row>
    <row r="77" spans="1:17" ht="20.100000000000001" customHeight="1" x14ac:dyDescent="0.3">
      <c r="A77" s="38"/>
      <c r="B77" s="755" t="s">
        <v>1375</v>
      </c>
      <c r="C77" s="756"/>
      <c r="D77" s="756"/>
      <c r="E77" s="756"/>
      <c r="F77" s="756"/>
      <c r="G77" s="756"/>
      <c r="H77" s="756"/>
      <c r="I77" s="756"/>
      <c r="J77" s="757"/>
      <c r="K77" s="39"/>
      <c r="L77" s="10"/>
      <c r="M77" s="10"/>
      <c r="N77" s="10"/>
      <c r="O77" s="10"/>
      <c r="P77" s="10"/>
      <c r="Q77" s="10"/>
    </row>
    <row r="78" spans="1:17" ht="20.100000000000001" customHeight="1" x14ac:dyDescent="0.3">
      <c r="A78" s="38"/>
      <c r="B78" s="755"/>
      <c r="C78" s="756"/>
      <c r="D78" s="756"/>
      <c r="E78" s="756"/>
      <c r="F78" s="756"/>
      <c r="G78" s="756"/>
      <c r="H78" s="756"/>
      <c r="I78" s="756"/>
      <c r="J78" s="757"/>
      <c r="K78" s="39"/>
      <c r="L78" s="10"/>
      <c r="M78" s="10"/>
      <c r="N78" s="10"/>
      <c r="O78" s="10"/>
      <c r="P78" s="10"/>
      <c r="Q78" s="10"/>
    </row>
    <row r="79" spans="1:17" ht="20.100000000000001" customHeight="1" x14ac:dyDescent="0.3">
      <c r="A79" s="38"/>
      <c r="B79" s="755"/>
      <c r="C79" s="756"/>
      <c r="D79" s="756"/>
      <c r="E79" s="756"/>
      <c r="F79" s="756"/>
      <c r="G79" s="756"/>
      <c r="H79" s="756"/>
      <c r="I79" s="756"/>
      <c r="J79" s="757"/>
      <c r="K79" s="38"/>
    </row>
    <row r="80" spans="1:17" ht="20.100000000000001" customHeight="1" thickBot="1" x14ac:dyDescent="0.35">
      <c r="A80" s="38"/>
      <c r="B80" s="758"/>
      <c r="C80" s="759"/>
      <c r="D80" s="759"/>
      <c r="E80" s="759"/>
      <c r="F80" s="759"/>
      <c r="G80" s="759"/>
      <c r="H80" s="759"/>
      <c r="I80" s="759"/>
      <c r="J80" s="760"/>
      <c r="K80" s="38"/>
    </row>
    <row r="81" spans="2:10" ht="5.25" customHeight="1" x14ac:dyDescent="0.3">
      <c r="B81" s="11"/>
      <c r="C81" s="11"/>
      <c r="D81" s="11"/>
      <c r="E81" s="11"/>
      <c r="F81" s="11"/>
      <c r="G81" s="11"/>
      <c r="H81" s="11"/>
      <c r="I81" s="11"/>
      <c r="J81" s="11"/>
    </row>
    <row r="82" spans="2:10" ht="24.95" customHeight="1" x14ac:dyDescent="0.3">
      <c r="B82" s="12"/>
      <c r="C82" s="12"/>
      <c r="D82" s="12"/>
      <c r="E82" s="12"/>
      <c r="F82" s="12"/>
      <c r="G82" s="12"/>
      <c r="H82" s="12"/>
      <c r="I82" s="12"/>
      <c r="J82" s="12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ht="24.95" customHeight="1" x14ac:dyDescent="0.3">
      <c r="B84" s="13"/>
      <c r="C84" s="770"/>
      <c r="D84" s="770"/>
      <c r="E84" s="770"/>
      <c r="F84" s="770"/>
      <c r="G84" s="770"/>
      <c r="H84" s="770"/>
      <c r="I84" s="13"/>
      <c r="J84" s="13"/>
    </row>
    <row r="85" spans="2:10" ht="24.95" customHeight="1" x14ac:dyDescent="0.3">
      <c r="B85" s="13"/>
      <c r="C85" s="14"/>
      <c r="D85" s="14"/>
      <c r="E85" s="14"/>
      <c r="F85" s="14"/>
      <c r="G85" s="14"/>
      <c r="H85" s="14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ht="24.95" customHeight="1" x14ac:dyDescent="0.3">
      <c r="B87" s="13"/>
      <c r="C87" s="770"/>
      <c r="D87" s="770"/>
      <c r="E87" s="770"/>
      <c r="F87" s="770"/>
      <c r="G87" s="770"/>
      <c r="H87" s="770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ht="24.95" customHeight="1" x14ac:dyDescent="0.3">
      <c r="B89" s="13"/>
      <c r="C89" s="13"/>
      <c r="D89" s="13"/>
      <c r="E89" s="14"/>
      <c r="F89" s="14"/>
      <c r="G89" s="14"/>
      <c r="H89" s="14"/>
      <c r="I89" s="14"/>
      <c r="J89" s="14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ht="24.95" customHeight="1" x14ac:dyDescent="0.3">
      <c r="B91" s="13"/>
      <c r="C91" s="13"/>
      <c r="D91" s="14"/>
      <c r="E91" s="14"/>
      <c r="F91" s="14"/>
      <c r="G91" s="14"/>
      <c r="H91" s="14"/>
      <c r="I91" s="14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ht="24.95" customHeight="1" x14ac:dyDescent="0.3">
      <c r="B93" s="13"/>
      <c r="C93" s="13"/>
      <c r="D93" s="14"/>
      <c r="E93" s="14"/>
      <c r="F93" s="14"/>
      <c r="G93" s="14"/>
      <c r="H93" s="14"/>
      <c r="I93" s="14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3"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2:10" x14ac:dyDescent="0.3"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2:10" x14ac:dyDescent="0.3"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2:10" x14ac:dyDescent="0.3"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2:10" x14ac:dyDescent="0.3"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2:10" x14ac:dyDescent="0.3"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2:10" x14ac:dyDescent="0.3">
      <c r="B111" s="13"/>
      <c r="C111" s="13"/>
      <c r="D111" s="13"/>
      <c r="E111" s="13"/>
      <c r="F111" s="13"/>
      <c r="G111" s="13"/>
      <c r="H111" s="13"/>
      <c r="I111" s="13"/>
      <c r="J111" s="13"/>
    </row>
  </sheetData>
  <mergeCells count="75">
    <mergeCell ref="B16:J16"/>
    <mergeCell ref="B2:J2"/>
    <mergeCell ref="B3:H3"/>
    <mergeCell ref="B6:J6"/>
    <mergeCell ref="B7:J7"/>
    <mergeCell ref="B15:J15"/>
    <mergeCell ref="B8:J8"/>
    <mergeCell ref="B9:J9"/>
    <mergeCell ref="B10:J10"/>
    <mergeCell ref="B11:J11"/>
    <mergeCell ref="B12:J12"/>
    <mergeCell ref="B13:J13"/>
    <mergeCell ref="B14:J14"/>
    <mergeCell ref="D42:I42"/>
    <mergeCell ref="D43:I43"/>
    <mergeCell ref="B20:J20"/>
    <mergeCell ref="B23:J23"/>
    <mergeCell ref="B25:B44"/>
    <mergeCell ref="D44:I44"/>
    <mergeCell ref="D41:I41"/>
    <mergeCell ref="D35:I35"/>
    <mergeCell ref="D36:I36"/>
    <mergeCell ref="B17:J17"/>
    <mergeCell ref="B18:J18"/>
    <mergeCell ref="B19:J19"/>
    <mergeCell ref="D33:I33"/>
    <mergeCell ref="D34:I34"/>
    <mergeCell ref="D65:I65"/>
    <mergeCell ref="D70:I70"/>
    <mergeCell ref="C87:H87"/>
    <mergeCell ref="D25:I25"/>
    <mergeCell ref="D26:I26"/>
    <mergeCell ref="D27:I27"/>
    <mergeCell ref="D28:I28"/>
    <mergeCell ref="D29:I29"/>
    <mergeCell ref="D30:I30"/>
    <mergeCell ref="D31:I31"/>
    <mergeCell ref="D32:I32"/>
    <mergeCell ref="C84:H84"/>
    <mergeCell ref="D37:I37"/>
    <mergeCell ref="D38:I38"/>
    <mergeCell ref="D39:I39"/>
    <mergeCell ref="D40:I40"/>
    <mergeCell ref="D47:I47"/>
    <mergeCell ref="D60:I60"/>
    <mergeCell ref="D69:I69"/>
    <mergeCell ref="B78:J78"/>
    <mergeCell ref="D49:I49"/>
    <mergeCell ref="D50:I50"/>
    <mergeCell ref="D51:I51"/>
    <mergeCell ref="D52:I52"/>
    <mergeCell ref="D53:I53"/>
    <mergeCell ref="D54:I54"/>
    <mergeCell ref="D56:I56"/>
    <mergeCell ref="D55:I55"/>
    <mergeCell ref="D66:I66"/>
    <mergeCell ref="D67:I67"/>
    <mergeCell ref="D68:I68"/>
    <mergeCell ref="D64:I64"/>
    <mergeCell ref="B79:J79"/>
    <mergeCell ref="B80:J80"/>
    <mergeCell ref="D63:I63"/>
    <mergeCell ref="D71:I71"/>
    <mergeCell ref="B75:J75"/>
    <mergeCell ref="B76:J76"/>
    <mergeCell ref="B77:J77"/>
    <mergeCell ref="B45:B71"/>
    <mergeCell ref="D62:I62"/>
    <mergeCell ref="D48:I48"/>
    <mergeCell ref="D59:I59"/>
    <mergeCell ref="D61:I61"/>
    <mergeCell ref="D57:I57"/>
    <mergeCell ref="D58:I58"/>
    <mergeCell ref="D45:I45"/>
    <mergeCell ref="D46:I46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pageSetUpPr fitToPage="1"/>
  </sheetPr>
  <dimension ref="A1:Q114"/>
  <sheetViews>
    <sheetView showGridLines="0" view="pageBreakPreview" topLeftCell="A49" zoomScale="85" zoomScaleNormal="100" zoomScaleSheetLayoutView="85" workbookViewId="0">
      <selection activeCell="B80" sqref="B80:J80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'09'!B3+1</f>
        <v>46275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1262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 t="s">
        <v>1267</v>
      </c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1" t="s">
        <v>1268</v>
      </c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 t="s">
        <v>1263</v>
      </c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 t="s">
        <v>1276</v>
      </c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1" t="s">
        <v>1269</v>
      </c>
      <c r="C12" s="732"/>
      <c r="D12" s="732"/>
      <c r="E12" s="732"/>
      <c r="F12" s="732"/>
      <c r="G12" s="732"/>
      <c r="H12" s="732"/>
      <c r="I12" s="732"/>
      <c r="J12" s="733"/>
    </row>
    <row r="13" spans="2:10" ht="20.100000000000001" customHeight="1" x14ac:dyDescent="0.3">
      <c r="B13" s="731" t="s">
        <v>1270</v>
      </c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34" t="s">
        <v>1271</v>
      </c>
      <c r="C14" s="735"/>
      <c r="D14" s="735"/>
      <c r="E14" s="735"/>
      <c r="F14" s="735"/>
      <c r="G14" s="735"/>
      <c r="H14" s="735"/>
      <c r="I14" s="735"/>
      <c r="J14" s="736"/>
    </row>
    <row r="15" spans="2:10" ht="20.100000000000001" customHeight="1" x14ac:dyDescent="0.3">
      <c r="B15" s="731" t="s">
        <v>1272</v>
      </c>
      <c r="C15" s="732"/>
      <c r="D15" s="732"/>
      <c r="E15" s="732"/>
      <c r="F15" s="732"/>
      <c r="G15" s="732"/>
      <c r="H15" s="732"/>
      <c r="I15" s="732"/>
      <c r="J15" s="733"/>
    </row>
    <row r="16" spans="2:10" ht="33" customHeight="1" x14ac:dyDescent="0.3">
      <c r="B16" s="780" t="s">
        <v>1274</v>
      </c>
      <c r="C16" s="781"/>
      <c r="D16" s="781"/>
      <c r="E16" s="781"/>
      <c r="F16" s="781"/>
      <c r="G16" s="781"/>
      <c r="H16" s="781"/>
      <c r="I16" s="781"/>
      <c r="J16" s="782"/>
    </row>
    <row r="17" spans="2:11" ht="33" customHeight="1" x14ac:dyDescent="0.3">
      <c r="B17" s="777" t="s">
        <v>1275</v>
      </c>
      <c r="C17" s="778"/>
      <c r="D17" s="778"/>
      <c r="E17" s="778"/>
      <c r="F17" s="778"/>
      <c r="G17" s="778"/>
      <c r="H17" s="778"/>
      <c r="I17" s="778"/>
      <c r="J17" s="779"/>
    </row>
    <row r="18" spans="2:11" ht="20.100000000000001" customHeight="1" x14ac:dyDescent="0.3">
      <c r="B18" s="731"/>
      <c r="C18" s="732"/>
      <c r="D18" s="732"/>
      <c r="E18" s="732"/>
      <c r="F18" s="732"/>
      <c r="G18" s="732"/>
      <c r="H18" s="732"/>
      <c r="I18" s="732"/>
      <c r="J18" s="733"/>
    </row>
    <row r="19" spans="2:11" ht="20.100000000000001" customHeight="1" x14ac:dyDescent="0.3">
      <c r="B19" s="731" t="s">
        <v>1278</v>
      </c>
      <c r="C19" s="732"/>
      <c r="D19" s="732"/>
      <c r="E19" s="732"/>
      <c r="F19" s="732"/>
      <c r="G19" s="732"/>
      <c r="H19" s="732"/>
      <c r="I19" s="732"/>
      <c r="J19" s="733"/>
    </row>
    <row r="20" spans="2:11" ht="48" customHeight="1" x14ac:dyDescent="0.3">
      <c r="B20" s="777" t="s">
        <v>1279</v>
      </c>
      <c r="C20" s="732"/>
      <c r="D20" s="732"/>
      <c r="E20" s="732"/>
      <c r="F20" s="732"/>
      <c r="G20" s="732"/>
      <c r="H20" s="732"/>
      <c r="I20" s="732"/>
      <c r="J20" s="733"/>
    </row>
    <row r="21" spans="2:11" ht="20.100000000000001" customHeight="1" x14ac:dyDescent="0.3">
      <c r="B21" s="731" t="s">
        <v>1280</v>
      </c>
      <c r="C21" s="732"/>
      <c r="D21" s="732"/>
      <c r="E21" s="732"/>
      <c r="F21" s="732"/>
      <c r="G21" s="732"/>
      <c r="H21" s="732"/>
      <c r="I21" s="732"/>
      <c r="J21" s="733"/>
    </row>
    <row r="22" spans="2:11" ht="20.100000000000001" customHeight="1" x14ac:dyDescent="0.3">
      <c r="B22" s="731"/>
      <c r="C22" s="732"/>
      <c r="D22" s="732"/>
      <c r="E22" s="732"/>
      <c r="F22" s="732"/>
      <c r="G22" s="732"/>
      <c r="H22" s="732"/>
      <c r="I22" s="732"/>
      <c r="J22" s="733"/>
    </row>
    <row r="23" spans="2:11" ht="20.100000000000001" customHeight="1" x14ac:dyDescent="0.3">
      <c r="B23" s="731" t="s">
        <v>1264</v>
      </c>
      <c r="C23" s="732"/>
      <c r="D23" s="732"/>
      <c r="E23" s="732"/>
      <c r="F23" s="732"/>
      <c r="G23" s="732"/>
      <c r="H23" s="732"/>
      <c r="I23" s="732"/>
      <c r="J23" s="733"/>
    </row>
    <row r="24" spans="2:11" ht="20.100000000000001" customHeight="1" x14ac:dyDescent="0.3">
      <c r="B24" s="734" t="s">
        <v>1277</v>
      </c>
      <c r="C24" s="735"/>
      <c r="D24" s="735"/>
      <c r="E24" s="735"/>
      <c r="F24" s="735"/>
      <c r="G24" s="735"/>
      <c r="H24" s="735"/>
      <c r="I24" s="735"/>
      <c r="J24" s="736"/>
    </row>
    <row r="25" spans="2:11" ht="20.100000000000001" customHeight="1" x14ac:dyDescent="0.3">
      <c r="B25" s="734" t="s">
        <v>1265</v>
      </c>
      <c r="C25" s="735"/>
      <c r="D25" s="735"/>
      <c r="E25" s="735"/>
      <c r="F25" s="735"/>
      <c r="G25" s="735"/>
      <c r="H25" s="735"/>
      <c r="I25" s="735"/>
      <c r="J25" s="736"/>
    </row>
    <row r="26" spans="2:11" ht="20.100000000000001" customHeight="1" x14ac:dyDescent="0.3">
      <c r="B26" s="734" t="s">
        <v>1266</v>
      </c>
      <c r="C26" s="735"/>
      <c r="D26" s="735"/>
      <c r="E26" s="735"/>
      <c r="F26" s="735"/>
      <c r="G26" s="735"/>
      <c r="H26" s="735"/>
      <c r="I26" s="735"/>
      <c r="J26" s="736"/>
    </row>
    <row r="27" spans="2:11" ht="20.100000000000001" customHeight="1" x14ac:dyDescent="0.3">
      <c r="B27" s="776" t="s">
        <v>1273</v>
      </c>
      <c r="C27" s="735"/>
      <c r="D27" s="735"/>
      <c r="E27" s="735"/>
      <c r="F27" s="735"/>
      <c r="G27" s="735"/>
      <c r="H27" s="735"/>
      <c r="I27" s="735"/>
      <c r="J27" s="736"/>
    </row>
    <row r="28" spans="2:11" ht="20.100000000000001" customHeight="1" x14ac:dyDescent="0.3">
      <c r="B28" s="731"/>
      <c r="C28" s="732"/>
      <c r="D28" s="732"/>
      <c r="E28" s="732"/>
      <c r="F28" s="732"/>
      <c r="G28" s="732"/>
      <c r="H28" s="732"/>
      <c r="I28" s="732"/>
      <c r="J28" s="733"/>
    </row>
    <row r="29" spans="2:11" ht="7.5" customHeight="1" thickBot="1" x14ac:dyDescent="0.35">
      <c r="B29" s="737"/>
      <c r="C29" s="738"/>
      <c r="D29" s="738"/>
      <c r="E29" s="738"/>
      <c r="F29" s="738"/>
      <c r="G29" s="738"/>
      <c r="H29" s="738"/>
      <c r="I29" s="738"/>
      <c r="J29" s="739"/>
    </row>
    <row r="30" spans="2:11" ht="21.75" customHeight="1" x14ac:dyDescent="0.3">
      <c r="B30" s="16"/>
      <c r="C30" s="16"/>
      <c r="D30" s="16"/>
      <c r="E30" s="16"/>
      <c r="F30" s="16"/>
      <c r="G30" s="16"/>
      <c r="H30" s="16"/>
      <c r="I30" s="16"/>
      <c r="J30" s="16"/>
    </row>
    <row r="31" spans="2:11" ht="23.1" customHeight="1" thickBot="1" x14ac:dyDescent="0.35">
      <c r="B31" s="1" t="s">
        <v>1</v>
      </c>
      <c r="I31" s="2"/>
      <c r="J31" s="24" t="s">
        <v>9</v>
      </c>
    </row>
    <row r="32" spans="2:11" ht="24.95" customHeight="1" thickBot="1" x14ac:dyDescent="0.35">
      <c r="B32" s="740" t="s">
        <v>10</v>
      </c>
      <c r="C32" s="741"/>
      <c r="D32" s="741"/>
      <c r="E32" s="741"/>
      <c r="F32" s="741"/>
      <c r="G32" s="741"/>
      <c r="H32" s="741"/>
      <c r="I32" s="741"/>
      <c r="J32" s="742"/>
      <c r="K32" s="8"/>
    </row>
    <row r="33" spans="2:13" ht="20.100000000000001" customHeight="1" x14ac:dyDescent="0.3">
      <c r="B33" s="3" t="s">
        <v>0</v>
      </c>
      <c r="C33" s="31" t="s">
        <v>11</v>
      </c>
      <c r="D33" s="26" t="s">
        <v>5</v>
      </c>
      <c r="E33" s="27"/>
      <c r="F33" s="27"/>
      <c r="G33" s="27"/>
      <c r="H33" s="27"/>
      <c r="I33" s="28"/>
      <c r="J33" s="32" t="s">
        <v>4</v>
      </c>
      <c r="K33" s="8"/>
    </row>
    <row r="34" spans="2:13" ht="20.100000000000001" customHeight="1" x14ac:dyDescent="0.3">
      <c r="B34" s="743" t="s">
        <v>2</v>
      </c>
      <c r="C34" s="29"/>
      <c r="D34" s="752"/>
      <c r="E34" s="753"/>
      <c r="F34" s="753"/>
      <c r="G34" s="753"/>
      <c r="H34" s="753"/>
      <c r="I34" s="754"/>
      <c r="J34" s="33"/>
      <c r="K34" s="8"/>
    </row>
    <row r="35" spans="2:13" ht="20.100000000000001" customHeight="1" x14ac:dyDescent="0.3">
      <c r="B35" s="743"/>
      <c r="C35" s="22" t="s">
        <v>65</v>
      </c>
      <c r="D35" s="750"/>
      <c r="E35" s="726"/>
      <c r="F35" s="726"/>
      <c r="G35" s="726"/>
      <c r="H35" s="726"/>
      <c r="I35" s="727"/>
      <c r="J35" s="34"/>
      <c r="K35" s="8"/>
    </row>
    <row r="36" spans="2:13" ht="20.100000000000001" customHeight="1" x14ac:dyDescent="0.3">
      <c r="B36" s="743"/>
      <c r="C36" s="21" t="s">
        <v>243</v>
      </c>
      <c r="D36" s="725"/>
      <c r="E36" s="726"/>
      <c r="F36" s="726"/>
      <c r="G36" s="726"/>
      <c r="H36" s="726"/>
      <c r="I36" s="727"/>
      <c r="J36" s="35"/>
      <c r="K36" s="8"/>
    </row>
    <row r="37" spans="2:13" ht="20.100000000000001" customHeight="1" x14ac:dyDescent="0.3">
      <c r="B37" s="743"/>
      <c r="C37" s="67"/>
      <c r="D37" s="751"/>
      <c r="E37" s="748"/>
      <c r="F37" s="748"/>
      <c r="G37" s="748"/>
      <c r="H37" s="748"/>
      <c r="I37" s="749"/>
      <c r="J37" s="36"/>
      <c r="K37" s="8"/>
    </row>
    <row r="38" spans="2:13" ht="20.100000000000001" customHeight="1" x14ac:dyDescent="0.3">
      <c r="B38" s="743"/>
      <c r="C38" s="29"/>
      <c r="D38" s="752"/>
      <c r="E38" s="753"/>
      <c r="F38" s="753"/>
      <c r="G38" s="753"/>
      <c r="H38" s="753"/>
      <c r="I38" s="754"/>
      <c r="J38" s="33"/>
      <c r="K38" s="8"/>
    </row>
    <row r="39" spans="2:13" ht="20.100000000000001" customHeight="1" x14ac:dyDescent="0.3">
      <c r="B39" s="743"/>
      <c r="C39" s="22" t="s">
        <v>47</v>
      </c>
      <c r="D39" s="750"/>
      <c r="E39" s="726"/>
      <c r="F39" s="726"/>
      <c r="G39" s="726"/>
      <c r="H39" s="726"/>
      <c r="I39" s="727"/>
      <c r="J39" s="34"/>
      <c r="K39" s="8"/>
    </row>
    <row r="40" spans="2:13" ht="20.100000000000001" customHeight="1" x14ac:dyDescent="0.3">
      <c r="B40" s="743"/>
      <c r="C40" s="21" t="s">
        <v>375</v>
      </c>
      <c r="D40" s="725"/>
      <c r="E40" s="726"/>
      <c r="F40" s="726"/>
      <c r="G40" s="726"/>
      <c r="H40" s="726"/>
      <c r="I40" s="727"/>
      <c r="J40" s="35"/>
      <c r="K40" s="8"/>
    </row>
    <row r="41" spans="2:13" ht="20.100000000000001" customHeight="1" x14ac:dyDescent="0.3">
      <c r="B41" s="743"/>
      <c r="C41" s="21"/>
      <c r="D41" s="751"/>
      <c r="E41" s="748"/>
      <c r="F41" s="748"/>
      <c r="G41" s="748"/>
      <c r="H41" s="748"/>
      <c r="I41" s="749"/>
      <c r="J41" s="35"/>
      <c r="K41" s="8"/>
      <c r="L41" s="9"/>
    </row>
    <row r="42" spans="2:13" ht="20.100000000000001" customHeight="1" x14ac:dyDescent="0.3">
      <c r="B42" s="743"/>
      <c r="C42" s="29"/>
      <c r="D42" s="752"/>
      <c r="E42" s="753"/>
      <c r="F42" s="753"/>
      <c r="G42" s="753"/>
      <c r="H42" s="753"/>
      <c r="I42" s="754"/>
      <c r="J42" s="33"/>
      <c r="K42" s="8"/>
      <c r="L42" s="9"/>
      <c r="M42" s="9"/>
    </row>
    <row r="43" spans="2:13" ht="20.100000000000001" customHeight="1" x14ac:dyDescent="0.3">
      <c r="B43" s="743"/>
      <c r="C43" s="22" t="s">
        <v>48</v>
      </c>
      <c r="D43" s="750"/>
      <c r="E43" s="726"/>
      <c r="F43" s="726"/>
      <c r="G43" s="726"/>
      <c r="H43" s="726"/>
      <c r="I43" s="727"/>
      <c r="J43" s="34"/>
      <c r="K43" s="8"/>
      <c r="L43" s="9"/>
      <c r="M43" s="9"/>
    </row>
    <row r="44" spans="2:13" ht="20.100000000000001" customHeight="1" x14ac:dyDescent="0.3">
      <c r="B44" s="743"/>
      <c r="C44" s="21" t="s">
        <v>66</v>
      </c>
      <c r="D44" s="725"/>
      <c r="E44" s="726"/>
      <c r="F44" s="726"/>
      <c r="G44" s="726"/>
      <c r="H44" s="726"/>
      <c r="I44" s="727"/>
      <c r="J44" s="35"/>
      <c r="K44" s="8"/>
      <c r="L44" s="9"/>
      <c r="M44" s="9"/>
    </row>
    <row r="45" spans="2:13" ht="20.100000000000001" customHeight="1" x14ac:dyDescent="0.3">
      <c r="B45" s="743"/>
      <c r="C45" s="67"/>
      <c r="D45" s="751"/>
      <c r="E45" s="748"/>
      <c r="F45" s="748"/>
      <c r="G45" s="748"/>
      <c r="H45" s="748"/>
      <c r="I45" s="749"/>
      <c r="J45" s="35"/>
      <c r="K45" s="8"/>
    </row>
    <row r="46" spans="2:13" ht="20.100000000000001" customHeight="1" x14ac:dyDescent="0.3">
      <c r="B46" s="743"/>
      <c r="C46" s="29"/>
      <c r="D46" s="752"/>
      <c r="E46" s="753"/>
      <c r="F46" s="753"/>
      <c r="G46" s="753"/>
      <c r="H46" s="753"/>
      <c r="I46" s="754"/>
      <c r="J46" s="33"/>
      <c r="K46" s="8"/>
    </row>
    <row r="47" spans="2:13" ht="20.100000000000001" customHeight="1" x14ac:dyDescent="0.3">
      <c r="B47" s="743"/>
      <c r="C47" s="22" t="s">
        <v>1083</v>
      </c>
      <c r="D47" s="750"/>
      <c r="E47" s="726"/>
      <c r="F47" s="726"/>
      <c r="G47" s="726"/>
      <c r="H47" s="726"/>
      <c r="I47" s="727"/>
      <c r="J47" s="34"/>
      <c r="K47" s="8"/>
    </row>
    <row r="48" spans="2:13" ht="20.100000000000001" customHeight="1" x14ac:dyDescent="0.3">
      <c r="B48" s="743"/>
      <c r="C48" s="21" t="s">
        <v>951</v>
      </c>
      <c r="D48" s="725"/>
      <c r="E48" s="726"/>
      <c r="F48" s="726"/>
      <c r="G48" s="726"/>
      <c r="H48" s="726"/>
      <c r="I48" s="727"/>
      <c r="J48" s="35"/>
      <c r="K48" s="8"/>
    </row>
    <row r="49" spans="1:17" ht="20.100000000000001" customHeight="1" x14ac:dyDescent="0.3">
      <c r="B49" s="743"/>
      <c r="C49" s="67"/>
      <c r="D49" s="751"/>
      <c r="E49" s="748"/>
      <c r="F49" s="748"/>
      <c r="G49" s="748"/>
      <c r="H49" s="748"/>
      <c r="I49" s="749"/>
      <c r="J49" s="35"/>
      <c r="K49" s="8"/>
    </row>
    <row r="50" spans="1:17" ht="20.100000000000001" customHeight="1" x14ac:dyDescent="0.3">
      <c r="B50" s="743"/>
      <c r="C50" s="29"/>
      <c r="D50" s="752"/>
      <c r="E50" s="753"/>
      <c r="F50" s="753"/>
      <c r="G50" s="753"/>
      <c r="H50" s="753"/>
      <c r="I50" s="754"/>
      <c r="J50" s="33"/>
      <c r="K50" s="8"/>
    </row>
    <row r="51" spans="1:17" ht="20.100000000000001" customHeight="1" x14ac:dyDescent="0.3">
      <c r="B51" s="743"/>
      <c r="C51" s="69" t="s">
        <v>49</v>
      </c>
      <c r="D51" s="750"/>
      <c r="E51" s="726"/>
      <c r="F51" s="726"/>
      <c r="G51" s="726"/>
      <c r="H51" s="726"/>
      <c r="I51" s="727"/>
      <c r="J51" s="34"/>
      <c r="K51" s="8"/>
    </row>
    <row r="52" spans="1:17" ht="20.100000000000001" customHeight="1" x14ac:dyDescent="0.3">
      <c r="B52" s="743"/>
      <c r="C52" s="21"/>
      <c r="D52" s="725"/>
      <c r="E52" s="726"/>
      <c r="F52" s="726"/>
      <c r="G52" s="726"/>
      <c r="H52" s="726"/>
      <c r="I52" s="727"/>
      <c r="J52" s="35"/>
      <c r="K52" s="8"/>
    </row>
    <row r="53" spans="1:17" ht="20.100000000000001" customHeight="1" x14ac:dyDescent="0.3">
      <c r="B53" s="744"/>
      <c r="C53" s="67"/>
      <c r="D53" s="751"/>
      <c r="E53" s="748"/>
      <c r="F53" s="748"/>
      <c r="G53" s="748"/>
      <c r="H53" s="748"/>
      <c r="I53" s="749"/>
      <c r="J53" s="35"/>
      <c r="K53" s="8"/>
    </row>
    <row r="54" spans="1:17" ht="20.100000000000001" customHeight="1" x14ac:dyDescent="0.3">
      <c r="B54" s="745" t="s">
        <v>50</v>
      </c>
      <c r="C54" s="68" t="s">
        <v>3</v>
      </c>
      <c r="D54" s="752" t="s">
        <v>1282</v>
      </c>
      <c r="E54" s="753"/>
      <c r="F54" s="753"/>
      <c r="G54" s="753"/>
      <c r="H54" s="753"/>
      <c r="I54" s="754"/>
      <c r="J54" s="33" t="s">
        <v>1292</v>
      </c>
      <c r="K54" s="8"/>
    </row>
    <row r="55" spans="1:17" ht="20.100000000000001" customHeight="1" x14ac:dyDescent="0.3">
      <c r="B55" s="743"/>
      <c r="C55" s="20">
        <v>2</v>
      </c>
      <c r="D55" s="750" t="s">
        <v>1283</v>
      </c>
      <c r="E55" s="726"/>
      <c r="F55" s="726"/>
      <c r="G55" s="726"/>
      <c r="H55" s="726"/>
      <c r="I55" s="727"/>
      <c r="J55" s="34" t="s">
        <v>1293</v>
      </c>
      <c r="K55" s="8"/>
    </row>
    <row r="56" spans="1:17" ht="20.100000000000001" customHeight="1" x14ac:dyDescent="0.3">
      <c r="B56" s="743"/>
      <c r="C56" s="21" t="str">
        <f>IF(C55=1,"[조용환+]",IF(C55=2,"[한만석+]",IF(C55=3,"[남정현+]",IF(C55=4,"[김광표+]","???"))))</f>
        <v>[한만석+]</v>
      </c>
      <c r="D56" s="725" t="s">
        <v>1284</v>
      </c>
      <c r="E56" s="726"/>
      <c r="F56" s="726"/>
      <c r="G56" s="726"/>
      <c r="H56" s="726"/>
      <c r="I56" s="727"/>
      <c r="J56" s="35"/>
      <c r="K56" s="8"/>
    </row>
    <row r="57" spans="1:17" ht="20.100000000000001" customHeight="1" x14ac:dyDescent="0.3">
      <c r="B57" s="743"/>
      <c r="C57" s="13"/>
      <c r="D57" s="725" t="s">
        <v>1281</v>
      </c>
      <c r="E57" s="726"/>
      <c r="F57" s="726"/>
      <c r="G57" s="726"/>
      <c r="H57" s="726"/>
      <c r="I57" s="727"/>
      <c r="J57" s="35"/>
      <c r="K57" s="8"/>
    </row>
    <row r="58" spans="1:17" ht="20.100000000000001" customHeight="1" x14ac:dyDescent="0.3">
      <c r="A58" s="13"/>
      <c r="B58" s="743"/>
      <c r="C58" s="13"/>
      <c r="D58" s="725" t="s">
        <v>1285</v>
      </c>
      <c r="E58" s="726"/>
      <c r="F58" s="726"/>
      <c r="G58" s="726"/>
      <c r="H58" s="726"/>
      <c r="I58" s="727"/>
      <c r="J58" s="35" t="s">
        <v>1292</v>
      </c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13"/>
      <c r="D59" s="728" t="s">
        <v>1295</v>
      </c>
      <c r="E59" s="729"/>
      <c r="F59" s="729"/>
      <c r="G59" s="729"/>
      <c r="H59" s="729"/>
      <c r="I59" s="730"/>
      <c r="J59" s="35" t="s">
        <v>1293</v>
      </c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13"/>
      <c r="D60" s="728" t="s">
        <v>1286</v>
      </c>
      <c r="E60" s="729"/>
      <c r="F60" s="729"/>
      <c r="G60" s="729"/>
      <c r="H60" s="729"/>
      <c r="I60" s="730"/>
      <c r="J60" s="35" t="s">
        <v>1292</v>
      </c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13"/>
      <c r="D61" s="728" t="s">
        <v>1287</v>
      </c>
      <c r="E61" s="729"/>
      <c r="F61" s="729"/>
      <c r="G61" s="729"/>
      <c r="H61" s="729"/>
      <c r="I61" s="730"/>
      <c r="J61" s="35"/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743"/>
      <c r="C62" s="13"/>
      <c r="D62" s="728" t="s">
        <v>1288</v>
      </c>
      <c r="E62" s="729"/>
      <c r="F62" s="729"/>
      <c r="G62" s="729"/>
      <c r="H62" s="729"/>
      <c r="I62" s="730"/>
      <c r="J62" s="35"/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743"/>
      <c r="C63" s="13"/>
      <c r="D63" s="728" t="s">
        <v>1289</v>
      </c>
      <c r="E63" s="729"/>
      <c r="F63" s="729"/>
      <c r="G63" s="729"/>
      <c r="H63" s="729"/>
      <c r="I63" s="730"/>
      <c r="J63" s="35"/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743"/>
      <c r="C64" s="13"/>
      <c r="D64" s="728" t="s">
        <v>1290</v>
      </c>
      <c r="E64" s="729"/>
      <c r="F64" s="729"/>
      <c r="G64" s="729"/>
      <c r="H64" s="729"/>
      <c r="I64" s="730"/>
      <c r="J64" s="35"/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13"/>
      <c r="B65" s="743"/>
      <c r="C65" s="13"/>
      <c r="D65" s="728" t="s">
        <v>1291</v>
      </c>
      <c r="E65" s="729"/>
      <c r="F65" s="729"/>
      <c r="G65" s="729"/>
      <c r="H65" s="729"/>
      <c r="I65" s="730"/>
      <c r="J65" s="35" t="s">
        <v>1293</v>
      </c>
      <c r="K65" s="8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13"/>
      <c r="B66" s="743"/>
      <c r="C66" s="13"/>
      <c r="D66" s="728" t="s">
        <v>1294</v>
      </c>
      <c r="E66" s="729"/>
      <c r="F66" s="729"/>
      <c r="G66" s="729"/>
      <c r="H66" s="729"/>
      <c r="I66" s="730"/>
      <c r="J66" s="35" t="s">
        <v>1293</v>
      </c>
      <c r="K66" s="8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13"/>
      <c r="B67" s="743"/>
      <c r="C67" s="19"/>
      <c r="D67" s="747"/>
      <c r="E67" s="748"/>
      <c r="F67" s="748"/>
      <c r="G67" s="748"/>
      <c r="H67" s="748"/>
      <c r="I67" s="749"/>
      <c r="J67" s="36"/>
      <c r="K67" s="8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13"/>
      <c r="B68" s="743"/>
      <c r="C68" s="22" t="s">
        <v>8</v>
      </c>
      <c r="D68" s="752" t="s">
        <v>1296</v>
      </c>
      <c r="E68" s="753"/>
      <c r="F68" s="753"/>
      <c r="G68" s="753"/>
      <c r="H68" s="753"/>
      <c r="I68" s="754"/>
      <c r="J68" s="33" t="s">
        <v>1298</v>
      </c>
      <c r="K68" s="8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13"/>
      <c r="B69" s="743"/>
      <c r="C69" s="20">
        <v>1</v>
      </c>
      <c r="D69" s="750" t="s">
        <v>1297</v>
      </c>
      <c r="E69" s="726"/>
      <c r="F69" s="726"/>
      <c r="G69" s="726"/>
      <c r="H69" s="726"/>
      <c r="I69" s="727"/>
      <c r="J69" s="34" t="s">
        <v>969</v>
      </c>
      <c r="K69" s="8"/>
      <c r="L69" s="10"/>
      <c r="M69" s="10"/>
      <c r="N69" s="10"/>
      <c r="O69" s="10"/>
      <c r="P69" s="10"/>
      <c r="Q69" s="10"/>
    </row>
    <row r="70" spans="1:17" ht="20.100000000000001" customHeight="1" x14ac:dyDescent="0.3">
      <c r="A70" s="13"/>
      <c r="B70" s="743"/>
      <c r="C70" s="21" t="str">
        <f>IF(C69=1,"[조용환+]",IF(C69=2,"[한만석+]",IF(C69=3,"[남정현+]",IF(C69=4,"[김광표+]","???"))))</f>
        <v>[조용환+]</v>
      </c>
      <c r="D70" s="725" t="s">
        <v>1299</v>
      </c>
      <c r="E70" s="726"/>
      <c r="F70" s="726"/>
      <c r="G70" s="726"/>
      <c r="H70" s="726"/>
      <c r="I70" s="727"/>
      <c r="J70" s="35" t="s">
        <v>969</v>
      </c>
      <c r="K70" s="8"/>
      <c r="L70" s="10"/>
      <c r="M70" s="10"/>
      <c r="N70" s="10"/>
      <c r="O70" s="10"/>
      <c r="P70" s="10"/>
      <c r="Q70" s="10"/>
    </row>
    <row r="71" spans="1:17" ht="20.100000000000001" customHeight="1" x14ac:dyDescent="0.3">
      <c r="A71" s="13"/>
      <c r="B71" s="743"/>
      <c r="C71" s="13"/>
      <c r="D71" s="725" t="s">
        <v>1300</v>
      </c>
      <c r="E71" s="726"/>
      <c r="F71" s="726"/>
      <c r="G71" s="726"/>
      <c r="H71" s="726"/>
      <c r="I71" s="727"/>
      <c r="J71" s="35"/>
      <c r="K71" s="8"/>
      <c r="L71" s="10"/>
      <c r="M71" s="10"/>
      <c r="N71" s="10"/>
      <c r="O71" s="10"/>
      <c r="P71" s="10"/>
      <c r="Q71" s="10"/>
    </row>
    <row r="72" spans="1:17" ht="20.100000000000001" customHeight="1" x14ac:dyDescent="0.3">
      <c r="A72" s="13"/>
      <c r="B72" s="743"/>
      <c r="C72" s="13"/>
      <c r="D72" s="725" t="s">
        <v>1301</v>
      </c>
      <c r="E72" s="726"/>
      <c r="F72" s="726"/>
      <c r="G72" s="726"/>
      <c r="H72" s="726"/>
      <c r="I72" s="727"/>
      <c r="J72" s="35"/>
      <c r="K72" s="8"/>
      <c r="L72" s="10"/>
      <c r="M72" s="10"/>
      <c r="N72" s="10"/>
      <c r="O72" s="10"/>
      <c r="P72" s="10"/>
      <c r="Q72" s="10"/>
    </row>
    <row r="73" spans="1:17" ht="20.100000000000001" customHeight="1" x14ac:dyDescent="0.3">
      <c r="A73" s="13"/>
      <c r="B73" s="743"/>
      <c r="C73" s="13"/>
      <c r="D73" s="725"/>
      <c r="E73" s="726"/>
      <c r="F73" s="726"/>
      <c r="G73" s="726"/>
      <c r="H73" s="726"/>
      <c r="I73" s="727"/>
      <c r="J73" s="35"/>
      <c r="K73" s="8"/>
      <c r="L73" s="10"/>
      <c r="M73" s="10"/>
      <c r="N73" s="10"/>
      <c r="O73" s="10"/>
      <c r="P73" s="10"/>
      <c r="Q73" s="10"/>
    </row>
    <row r="74" spans="1:17" ht="20.100000000000001" customHeight="1" thickBot="1" x14ac:dyDescent="0.35">
      <c r="A74" s="13"/>
      <c r="B74" s="746"/>
      <c r="C74" s="25"/>
      <c r="D74" s="761"/>
      <c r="E74" s="762"/>
      <c r="F74" s="762"/>
      <c r="G74" s="762"/>
      <c r="H74" s="762"/>
      <c r="I74" s="763"/>
      <c r="J74" s="37"/>
      <c r="K74" s="8"/>
      <c r="L74" s="10"/>
      <c r="M74" s="10"/>
      <c r="N74" s="10"/>
      <c r="O74" s="10"/>
      <c r="P74" s="10"/>
      <c r="Q74" s="10"/>
    </row>
    <row r="75" spans="1:17" ht="20.100000000000001" customHeight="1" x14ac:dyDescent="0.3">
      <c r="A75" s="13"/>
      <c r="B75" s="23" t="s">
        <v>12</v>
      </c>
      <c r="C75" s="17"/>
      <c r="D75" s="17"/>
      <c r="E75" s="17"/>
      <c r="F75" s="17"/>
      <c r="G75" s="17"/>
      <c r="H75" s="17"/>
      <c r="I75" s="17"/>
      <c r="J75" s="17"/>
      <c r="K75" s="8"/>
      <c r="L75" s="10"/>
      <c r="M75" s="10"/>
      <c r="N75" s="10"/>
      <c r="O75" s="10"/>
      <c r="P75" s="10"/>
      <c r="Q75" s="10"/>
    </row>
    <row r="76" spans="1:17" ht="6" customHeight="1" x14ac:dyDescent="0.3">
      <c r="A76" s="13"/>
      <c r="B76" s="17"/>
      <c r="C76" s="17"/>
      <c r="D76" s="17"/>
      <c r="E76" s="17"/>
      <c r="F76" s="17"/>
      <c r="G76" s="17"/>
      <c r="H76" s="17"/>
      <c r="I76" s="17"/>
      <c r="J76" s="17"/>
      <c r="K76" s="8"/>
      <c r="L76" s="10"/>
      <c r="M76" s="10"/>
      <c r="N76" s="10"/>
      <c r="O76" s="10"/>
      <c r="P76" s="10"/>
      <c r="Q76" s="10"/>
    </row>
    <row r="77" spans="1:17" ht="18.75" customHeight="1" thickBot="1" x14ac:dyDescent="0.35">
      <c r="B77" s="1" t="s">
        <v>7</v>
      </c>
      <c r="C77" s="17"/>
      <c r="D77" s="17"/>
      <c r="E77" s="17"/>
      <c r="F77" s="17"/>
      <c r="G77" s="17"/>
      <c r="H77" s="17"/>
      <c r="I77" s="17"/>
      <c r="J77" s="18"/>
      <c r="K77" s="8"/>
      <c r="L77" s="10"/>
      <c r="M77" s="10"/>
      <c r="N77" s="10"/>
      <c r="O77" s="10"/>
      <c r="P77" s="10"/>
      <c r="Q77" s="10"/>
    </row>
    <row r="78" spans="1:17" ht="20.100000000000001" customHeight="1" x14ac:dyDescent="0.3">
      <c r="A78" s="38"/>
      <c r="B78" s="764" t="s">
        <v>1141</v>
      </c>
      <c r="C78" s="765"/>
      <c r="D78" s="765"/>
      <c r="E78" s="765"/>
      <c r="F78" s="765"/>
      <c r="G78" s="765"/>
      <c r="H78" s="765"/>
      <c r="I78" s="765"/>
      <c r="J78" s="766"/>
      <c r="K78" s="39"/>
      <c r="L78" s="10"/>
      <c r="M78" s="10"/>
      <c r="N78" s="10"/>
      <c r="O78" s="10"/>
      <c r="P78" s="10"/>
      <c r="Q78" s="10"/>
    </row>
    <row r="79" spans="1:17" ht="20.100000000000001" customHeight="1" x14ac:dyDescent="0.3">
      <c r="A79" s="38"/>
      <c r="B79" s="755" t="s">
        <v>1376</v>
      </c>
      <c r="C79" s="756"/>
      <c r="D79" s="756"/>
      <c r="E79" s="756"/>
      <c r="F79" s="756"/>
      <c r="G79" s="756"/>
      <c r="H79" s="756"/>
      <c r="I79" s="756"/>
      <c r="J79" s="757"/>
      <c r="K79" s="39"/>
      <c r="L79" s="10"/>
      <c r="M79" s="10"/>
      <c r="N79" s="10"/>
      <c r="O79" s="10"/>
      <c r="P79" s="10"/>
      <c r="Q79" s="10"/>
    </row>
    <row r="80" spans="1:17" ht="20.100000000000001" customHeight="1" x14ac:dyDescent="0.3">
      <c r="A80" s="38"/>
      <c r="B80" s="755"/>
      <c r="C80" s="756"/>
      <c r="D80" s="756"/>
      <c r="E80" s="756"/>
      <c r="F80" s="756"/>
      <c r="G80" s="756"/>
      <c r="H80" s="756"/>
      <c r="I80" s="756"/>
      <c r="J80" s="757"/>
      <c r="K80" s="39"/>
      <c r="L80" s="10"/>
      <c r="M80" s="10"/>
      <c r="N80" s="10"/>
      <c r="O80" s="10"/>
      <c r="P80" s="10"/>
      <c r="Q80" s="10"/>
    </row>
    <row r="81" spans="1:17" ht="20.100000000000001" customHeight="1" x14ac:dyDescent="0.3">
      <c r="A81" s="38"/>
      <c r="B81" s="755"/>
      <c r="C81" s="756"/>
      <c r="D81" s="756"/>
      <c r="E81" s="756"/>
      <c r="F81" s="756"/>
      <c r="G81" s="756"/>
      <c r="H81" s="756"/>
      <c r="I81" s="756"/>
      <c r="J81" s="757"/>
      <c r="K81" s="39"/>
      <c r="L81" s="10"/>
      <c r="M81" s="10"/>
      <c r="N81" s="10"/>
      <c r="O81" s="10"/>
      <c r="P81" s="10"/>
      <c r="Q81" s="10"/>
    </row>
    <row r="82" spans="1:17" ht="20.100000000000001" customHeight="1" x14ac:dyDescent="0.3">
      <c r="A82" s="38"/>
      <c r="B82" s="755"/>
      <c r="C82" s="756"/>
      <c r="D82" s="756"/>
      <c r="E82" s="756"/>
      <c r="F82" s="756"/>
      <c r="G82" s="756"/>
      <c r="H82" s="756"/>
      <c r="I82" s="756"/>
      <c r="J82" s="757"/>
      <c r="K82" s="38"/>
    </row>
    <row r="83" spans="1:17" ht="20.100000000000001" customHeight="1" thickBot="1" x14ac:dyDescent="0.35">
      <c r="A83" s="38"/>
      <c r="B83" s="758"/>
      <c r="C83" s="759"/>
      <c r="D83" s="759"/>
      <c r="E83" s="759"/>
      <c r="F83" s="759"/>
      <c r="G83" s="759"/>
      <c r="H83" s="759"/>
      <c r="I83" s="759"/>
      <c r="J83" s="760"/>
      <c r="K83" s="38"/>
    </row>
    <row r="84" spans="1:17" ht="5.25" customHeight="1" x14ac:dyDescent="0.3">
      <c r="B84" s="11"/>
      <c r="C84" s="11"/>
      <c r="D84" s="11"/>
      <c r="E84" s="11"/>
      <c r="F84" s="11"/>
      <c r="G84" s="11"/>
      <c r="H84" s="11"/>
      <c r="I84" s="11"/>
      <c r="J84" s="11"/>
    </row>
    <row r="85" spans="1:17" ht="24.95" customHeight="1" x14ac:dyDescent="0.3">
      <c r="B85" s="12"/>
      <c r="C85" s="12"/>
      <c r="D85" s="12"/>
      <c r="E85" s="12"/>
      <c r="F85" s="12"/>
      <c r="G85" s="12"/>
      <c r="H85" s="12"/>
      <c r="I85" s="12"/>
      <c r="J85" s="12"/>
    </row>
    <row r="86" spans="1:17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1:17" ht="24.95" customHeight="1" x14ac:dyDescent="0.3">
      <c r="B87" s="13"/>
      <c r="C87" s="770"/>
      <c r="D87" s="770"/>
      <c r="E87" s="770"/>
      <c r="F87" s="770"/>
      <c r="G87" s="770"/>
      <c r="H87" s="770"/>
      <c r="I87" s="13"/>
      <c r="J87" s="13"/>
    </row>
    <row r="88" spans="1:17" ht="24.95" customHeight="1" x14ac:dyDescent="0.3">
      <c r="B88" s="13"/>
      <c r="C88" s="14"/>
      <c r="D88" s="14"/>
      <c r="E88" s="14"/>
      <c r="F88" s="14"/>
      <c r="G88" s="14"/>
      <c r="H88" s="14"/>
      <c r="I88" s="13"/>
      <c r="J88" s="13"/>
    </row>
    <row r="89" spans="1:17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1:17" ht="24.95" customHeight="1" x14ac:dyDescent="0.3">
      <c r="B90" s="13"/>
      <c r="C90" s="770"/>
      <c r="D90" s="770"/>
      <c r="E90" s="770"/>
      <c r="F90" s="770"/>
      <c r="G90" s="770"/>
      <c r="H90" s="770"/>
      <c r="I90" s="13"/>
      <c r="J90" s="13"/>
    </row>
    <row r="91" spans="1:17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1:17" ht="24.95" customHeight="1" x14ac:dyDescent="0.3">
      <c r="B92" s="13"/>
      <c r="C92" s="13"/>
      <c r="D92" s="13"/>
      <c r="E92" s="14"/>
      <c r="F92" s="14"/>
      <c r="G92" s="14"/>
      <c r="H92" s="14"/>
      <c r="I92" s="14"/>
      <c r="J92" s="14"/>
    </row>
    <row r="93" spans="1:17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1:17" ht="24.95" customHeight="1" x14ac:dyDescent="0.3">
      <c r="B94" s="13"/>
      <c r="C94" s="13"/>
      <c r="D94" s="14"/>
      <c r="E94" s="14"/>
      <c r="F94" s="14"/>
      <c r="G94" s="14"/>
      <c r="H94" s="14"/>
      <c r="I94" s="14"/>
      <c r="J94" s="13"/>
    </row>
    <row r="95" spans="1:17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1:17" ht="24.95" customHeight="1" x14ac:dyDescent="0.3">
      <c r="B96" s="13"/>
      <c r="C96" s="13"/>
      <c r="D96" s="14"/>
      <c r="E96" s="14"/>
      <c r="F96" s="14"/>
      <c r="G96" s="14"/>
      <c r="H96" s="14"/>
      <c r="I96" s="14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3"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2:10" x14ac:dyDescent="0.3"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2:10" x14ac:dyDescent="0.3"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2:10" x14ac:dyDescent="0.3"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2:10" x14ac:dyDescent="0.3"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2:10" x14ac:dyDescent="0.3"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2:10" x14ac:dyDescent="0.3"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2:10" x14ac:dyDescent="0.3"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2:10" x14ac:dyDescent="0.3"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2:10" x14ac:dyDescent="0.3">
      <c r="B114" s="13"/>
      <c r="C114" s="13"/>
      <c r="D114" s="13"/>
      <c r="E114" s="13"/>
      <c r="F114" s="13"/>
      <c r="G114" s="13"/>
      <c r="H114" s="13"/>
      <c r="I114" s="13"/>
      <c r="J114" s="13"/>
    </row>
  </sheetData>
  <mergeCells count="78">
    <mergeCell ref="B18:J18"/>
    <mergeCell ref="B23:J23"/>
    <mergeCell ref="B24:J24"/>
    <mergeCell ref="B20:J20"/>
    <mergeCell ref="B21:J21"/>
    <mergeCell ref="B22:J22"/>
    <mergeCell ref="B26:J26"/>
    <mergeCell ref="B27:J27"/>
    <mergeCell ref="B28:J28"/>
    <mergeCell ref="D34:I34"/>
    <mergeCell ref="D35:I35"/>
    <mergeCell ref="B29:J29"/>
    <mergeCell ref="B32:J32"/>
    <mergeCell ref="B34:B53"/>
    <mergeCell ref="D36:I36"/>
    <mergeCell ref="D37:I37"/>
    <mergeCell ref="D38:I38"/>
    <mergeCell ref="D39:I39"/>
    <mergeCell ref="D40:I40"/>
    <mergeCell ref="D43:I43"/>
    <mergeCell ref="D49:I49"/>
    <mergeCell ref="D41:I41"/>
    <mergeCell ref="B25:J25"/>
    <mergeCell ref="B2:J2"/>
    <mergeCell ref="B3:H3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9:J19"/>
    <mergeCell ref="B54:B74"/>
    <mergeCell ref="C87:H87"/>
    <mergeCell ref="D74:I74"/>
    <mergeCell ref="D56:I56"/>
    <mergeCell ref="D57:I57"/>
    <mergeCell ref="D67:I67"/>
    <mergeCell ref="D68:I68"/>
    <mergeCell ref="D54:I54"/>
    <mergeCell ref="D69:I69"/>
    <mergeCell ref="D70:I70"/>
    <mergeCell ref="D71:I71"/>
    <mergeCell ref="D58:I58"/>
    <mergeCell ref="D66:I66"/>
    <mergeCell ref="D72:I72"/>
    <mergeCell ref="D73:I73"/>
    <mergeCell ref="D59:I59"/>
    <mergeCell ref="C90:H90"/>
    <mergeCell ref="B78:J78"/>
    <mergeCell ref="B79:J79"/>
    <mergeCell ref="B80:J80"/>
    <mergeCell ref="B81:J81"/>
    <mergeCell ref="B82:J82"/>
    <mergeCell ref="B83:J83"/>
    <mergeCell ref="D42:I42"/>
    <mergeCell ref="D55:I55"/>
    <mergeCell ref="D48:I48"/>
    <mergeCell ref="D50:I50"/>
    <mergeCell ref="D51:I51"/>
    <mergeCell ref="D52:I52"/>
    <mergeCell ref="D53:I53"/>
    <mergeCell ref="D44:I44"/>
    <mergeCell ref="D45:I45"/>
    <mergeCell ref="D46:I46"/>
    <mergeCell ref="D47:I47"/>
    <mergeCell ref="D65:I65"/>
    <mergeCell ref="D60:I60"/>
    <mergeCell ref="D61:I61"/>
    <mergeCell ref="D62:I62"/>
    <mergeCell ref="D63:I63"/>
    <mergeCell ref="D64:I64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/>
  <dimension ref="A1:Q106"/>
  <sheetViews>
    <sheetView showGridLines="0" view="pageBreakPreview" topLeftCell="A58" zoomScale="85" zoomScaleNormal="100" zoomScaleSheetLayoutView="85" workbookViewId="0">
      <selection activeCell="D45" sqref="D45:I45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'10'!B3+1</f>
        <v>46276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1305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 t="s">
        <v>1308</v>
      </c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1" t="s">
        <v>1306</v>
      </c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731" t="s">
        <v>1307</v>
      </c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/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 t="s">
        <v>1309</v>
      </c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4" t="s">
        <v>1310</v>
      </c>
      <c r="C12" s="735"/>
      <c r="D12" s="735"/>
      <c r="E12" s="735"/>
      <c r="F12" s="735"/>
      <c r="G12" s="735"/>
      <c r="H12" s="735"/>
      <c r="I12" s="735"/>
      <c r="J12" s="736"/>
    </row>
    <row r="13" spans="2:10" ht="34.5" customHeight="1" x14ac:dyDescent="0.3">
      <c r="B13" s="780" t="s">
        <v>1311</v>
      </c>
      <c r="C13" s="781"/>
      <c r="D13" s="781"/>
      <c r="E13" s="781"/>
      <c r="F13" s="781"/>
      <c r="G13" s="781"/>
      <c r="H13" s="781"/>
      <c r="I13" s="781"/>
      <c r="J13" s="782"/>
    </row>
    <row r="14" spans="2:10" ht="20.100000000000001" customHeight="1" x14ac:dyDescent="0.3">
      <c r="B14" s="734" t="s">
        <v>1312</v>
      </c>
      <c r="C14" s="735"/>
      <c r="D14" s="735"/>
      <c r="E14" s="735"/>
      <c r="F14" s="735"/>
      <c r="G14" s="735"/>
      <c r="H14" s="735"/>
      <c r="I14" s="735"/>
      <c r="J14" s="736"/>
    </row>
    <row r="15" spans="2:10" ht="20.100000000000001" customHeight="1" x14ac:dyDescent="0.3">
      <c r="B15" s="731"/>
      <c r="C15" s="732"/>
      <c r="D15" s="732"/>
      <c r="E15" s="732"/>
      <c r="F15" s="732"/>
      <c r="G15" s="732"/>
      <c r="H15" s="732"/>
      <c r="I15" s="732"/>
      <c r="J15" s="733"/>
    </row>
    <row r="16" spans="2:10" ht="20.100000000000001" customHeight="1" x14ac:dyDescent="0.3">
      <c r="B16" s="731"/>
      <c r="C16" s="732"/>
      <c r="D16" s="732"/>
      <c r="E16" s="732"/>
      <c r="F16" s="732"/>
      <c r="G16" s="732"/>
      <c r="H16" s="732"/>
      <c r="I16" s="732"/>
      <c r="J16" s="733"/>
    </row>
    <row r="17" spans="2:13" ht="7.5" customHeight="1" thickBot="1" x14ac:dyDescent="0.35">
      <c r="B17" s="737"/>
      <c r="C17" s="738"/>
      <c r="D17" s="738"/>
      <c r="E17" s="738"/>
      <c r="F17" s="738"/>
      <c r="G17" s="738"/>
      <c r="H17" s="738"/>
      <c r="I17" s="738"/>
      <c r="J17" s="739"/>
    </row>
    <row r="18" spans="2:13" ht="21.75" customHeight="1" x14ac:dyDescent="0.3">
      <c r="B18" s="16"/>
      <c r="C18" s="16"/>
      <c r="D18" s="16"/>
      <c r="E18" s="16"/>
      <c r="F18" s="16"/>
      <c r="G18" s="16"/>
      <c r="H18" s="16"/>
      <c r="I18" s="16"/>
      <c r="J18" s="16"/>
    </row>
    <row r="19" spans="2:13" ht="23.1" customHeight="1" thickBot="1" x14ac:dyDescent="0.35">
      <c r="B19" s="1" t="s">
        <v>1</v>
      </c>
      <c r="I19" s="2"/>
      <c r="J19" s="24" t="s">
        <v>9</v>
      </c>
    </row>
    <row r="20" spans="2:13" ht="24.95" customHeight="1" thickBot="1" x14ac:dyDescent="0.35">
      <c r="B20" s="740" t="s">
        <v>10</v>
      </c>
      <c r="C20" s="741"/>
      <c r="D20" s="741"/>
      <c r="E20" s="741"/>
      <c r="F20" s="741"/>
      <c r="G20" s="741"/>
      <c r="H20" s="741"/>
      <c r="I20" s="741"/>
      <c r="J20" s="742"/>
      <c r="K20" s="8"/>
    </row>
    <row r="21" spans="2:13" ht="20.100000000000001" customHeight="1" x14ac:dyDescent="0.3">
      <c r="B21" s="3" t="s">
        <v>0</v>
      </c>
      <c r="C21" s="31" t="s">
        <v>11</v>
      </c>
      <c r="D21" s="26" t="s">
        <v>5</v>
      </c>
      <c r="E21" s="27"/>
      <c r="F21" s="27"/>
      <c r="G21" s="27"/>
      <c r="H21" s="27"/>
      <c r="I21" s="28"/>
      <c r="J21" s="32" t="s">
        <v>4</v>
      </c>
      <c r="K21" s="8"/>
    </row>
    <row r="22" spans="2:13" ht="20.100000000000001" customHeight="1" x14ac:dyDescent="0.3">
      <c r="B22" s="743" t="s">
        <v>2</v>
      </c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65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243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67"/>
      <c r="D25" s="751"/>
      <c r="E25" s="748"/>
      <c r="F25" s="748"/>
      <c r="G25" s="748"/>
      <c r="H25" s="748"/>
      <c r="I25" s="749"/>
      <c r="J25" s="36"/>
      <c r="K25" s="8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</row>
    <row r="27" spans="2:13" ht="20.100000000000001" customHeight="1" x14ac:dyDescent="0.3">
      <c r="B27" s="743"/>
      <c r="C27" s="22" t="s">
        <v>47</v>
      </c>
      <c r="D27" s="750"/>
      <c r="E27" s="726"/>
      <c r="F27" s="726"/>
      <c r="G27" s="726"/>
      <c r="H27" s="726"/>
      <c r="I27" s="727"/>
      <c r="J27" s="34"/>
      <c r="K27" s="8"/>
    </row>
    <row r="28" spans="2:13" ht="20.100000000000001" customHeight="1" x14ac:dyDescent="0.3">
      <c r="B28" s="743"/>
      <c r="C28" s="21" t="s">
        <v>375</v>
      </c>
      <c r="D28" s="725"/>
      <c r="E28" s="726"/>
      <c r="F28" s="726"/>
      <c r="G28" s="726"/>
      <c r="H28" s="726"/>
      <c r="I28" s="727"/>
      <c r="J28" s="35"/>
      <c r="K28" s="8"/>
    </row>
    <row r="29" spans="2:13" ht="20.100000000000001" customHeight="1" x14ac:dyDescent="0.3">
      <c r="B29" s="743"/>
      <c r="C29" s="21"/>
      <c r="D29" s="751"/>
      <c r="E29" s="748"/>
      <c r="F29" s="748"/>
      <c r="G29" s="748"/>
      <c r="H29" s="748"/>
      <c r="I29" s="749"/>
      <c r="J29" s="35"/>
      <c r="K29" s="8"/>
      <c r="L29" s="9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  <c r="L30" s="9"/>
      <c r="M30" s="9"/>
    </row>
    <row r="31" spans="2:13" ht="20.100000000000001" customHeight="1" x14ac:dyDescent="0.3">
      <c r="B31" s="743"/>
      <c r="C31" s="22" t="s">
        <v>48</v>
      </c>
      <c r="D31" s="750"/>
      <c r="E31" s="726"/>
      <c r="F31" s="726"/>
      <c r="G31" s="726"/>
      <c r="H31" s="726"/>
      <c r="I31" s="727"/>
      <c r="J31" s="34"/>
      <c r="K31" s="8"/>
      <c r="L31" s="9"/>
      <c r="M31" s="9"/>
    </row>
    <row r="32" spans="2:13" ht="20.100000000000001" customHeight="1" x14ac:dyDescent="0.3">
      <c r="B32" s="743"/>
      <c r="C32" s="21" t="s">
        <v>66</v>
      </c>
      <c r="D32" s="725"/>
      <c r="E32" s="726"/>
      <c r="F32" s="726"/>
      <c r="G32" s="726"/>
      <c r="H32" s="726"/>
      <c r="I32" s="727"/>
      <c r="J32" s="35"/>
      <c r="K32" s="8"/>
      <c r="L32" s="9"/>
      <c r="M32" s="9"/>
    </row>
    <row r="33" spans="2:11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2:11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2:11" ht="20.100000000000001" customHeight="1" x14ac:dyDescent="0.3">
      <c r="B35" s="743"/>
      <c r="C35" s="22" t="s">
        <v>1083</v>
      </c>
      <c r="D35" s="750"/>
      <c r="E35" s="726"/>
      <c r="F35" s="726"/>
      <c r="G35" s="726"/>
      <c r="H35" s="726"/>
      <c r="I35" s="727"/>
      <c r="J35" s="34"/>
      <c r="K35" s="8"/>
    </row>
    <row r="36" spans="2:11" ht="20.100000000000001" customHeight="1" x14ac:dyDescent="0.3">
      <c r="B36" s="743"/>
      <c r="C36" s="21" t="s">
        <v>951</v>
      </c>
      <c r="D36" s="725"/>
      <c r="E36" s="726"/>
      <c r="F36" s="726"/>
      <c r="G36" s="726"/>
      <c r="H36" s="726"/>
      <c r="I36" s="727"/>
      <c r="J36" s="35"/>
      <c r="K36" s="8"/>
    </row>
    <row r="37" spans="2:11" ht="20.100000000000001" customHeight="1" x14ac:dyDescent="0.3">
      <c r="B37" s="743"/>
      <c r="C37" s="67"/>
      <c r="D37" s="751"/>
      <c r="E37" s="748"/>
      <c r="F37" s="748"/>
      <c r="G37" s="748"/>
      <c r="H37" s="748"/>
      <c r="I37" s="749"/>
      <c r="J37" s="35"/>
      <c r="K37" s="8"/>
    </row>
    <row r="38" spans="2:11" ht="20.100000000000001" customHeight="1" x14ac:dyDescent="0.3">
      <c r="B38" s="743"/>
      <c r="C38" s="29"/>
      <c r="D38" s="752"/>
      <c r="E38" s="753"/>
      <c r="F38" s="753"/>
      <c r="G38" s="753"/>
      <c r="H38" s="753"/>
      <c r="I38" s="754"/>
      <c r="J38" s="33"/>
      <c r="K38" s="8"/>
    </row>
    <row r="39" spans="2:11" ht="20.100000000000001" customHeight="1" x14ac:dyDescent="0.3">
      <c r="B39" s="743"/>
      <c r="C39" s="69" t="s">
        <v>49</v>
      </c>
      <c r="D39" s="750"/>
      <c r="E39" s="726"/>
      <c r="F39" s="726"/>
      <c r="G39" s="726"/>
      <c r="H39" s="726"/>
      <c r="I39" s="727"/>
      <c r="J39" s="34"/>
      <c r="K39" s="8"/>
    </row>
    <row r="40" spans="2:11" ht="20.100000000000001" customHeight="1" x14ac:dyDescent="0.3">
      <c r="B40" s="743"/>
      <c r="C40" s="21"/>
      <c r="D40" s="725"/>
      <c r="E40" s="726"/>
      <c r="F40" s="726"/>
      <c r="G40" s="726"/>
      <c r="H40" s="726"/>
      <c r="I40" s="727"/>
      <c r="J40" s="35"/>
      <c r="K40" s="8"/>
    </row>
    <row r="41" spans="2:11" ht="20.100000000000001" customHeight="1" x14ac:dyDescent="0.3">
      <c r="B41" s="744"/>
      <c r="C41" s="67"/>
      <c r="D41" s="751"/>
      <c r="E41" s="748"/>
      <c r="F41" s="748"/>
      <c r="G41" s="748"/>
      <c r="H41" s="748"/>
      <c r="I41" s="749"/>
      <c r="J41" s="35"/>
      <c r="K41" s="8"/>
    </row>
    <row r="42" spans="2:11" ht="20.100000000000001" customHeight="1" x14ac:dyDescent="0.3">
      <c r="B42" s="745" t="s">
        <v>50</v>
      </c>
      <c r="C42" s="68" t="s">
        <v>3</v>
      </c>
      <c r="D42" s="752" t="s">
        <v>1326</v>
      </c>
      <c r="E42" s="753"/>
      <c r="F42" s="753"/>
      <c r="G42" s="753"/>
      <c r="H42" s="753"/>
      <c r="I42" s="754"/>
      <c r="J42" s="33" t="s">
        <v>1315</v>
      </c>
      <c r="K42" s="8"/>
    </row>
    <row r="43" spans="2:11" ht="20.100000000000001" customHeight="1" x14ac:dyDescent="0.3">
      <c r="B43" s="743"/>
      <c r="C43" s="20">
        <v>3</v>
      </c>
      <c r="D43" s="750" t="s">
        <v>1327</v>
      </c>
      <c r="E43" s="726"/>
      <c r="F43" s="726"/>
      <c r="G43" s="726"/>
      <c r="H43" s="726"/>
      <c r="I43" s="727"/>
      <c r="J43" s="34" t="s">
        <v>1316</v>
      </c>
      <c r="K43" s="8"/>
    </row>
    <row r="44" spans="2:11" ht="20.100000000000001" customHeight="1" x14ac:dyDescent="0.3">
      <c r="B44" s="743"/>
      <c r="C44" s="21" t="str">
        <f>IF(C43=1,"[조용환+]",IF(C43=2,"[한만석+]",IF(C43=3,"[남정현+]",IF(C43=4,"[김광표+]","???"))))</f>
        <v>[남정현+]</v>
      </c>
      <c r="D44" s="725" t="s">
        <v>1313</v>
      </c>
      <c r="E44" s="726"/>
      <c r="F44" s="726"/>
      <c r="G44" s="726"/>
      <c r="H44" s="726"/>
      <c r="I44" s="727"/>
      <c r="J44" s="35" t="s">
        <v>1316</v>
      </c>
      <c r="K44" s="8"/>
    </row>
    <row r="45" spans="2:11" ht="20.100000000000001" customHeight="1" x14ac:dyDescent="0.3">
      <c r="B45" s="743"/>
      <c r="C45" s="521"/>
      <c r="D45" s="725" t="s">
        <v>1314</v>
      </c>
      <c r="E45" s="726"/>
      <c r="F45" s="726"/>
      <c r="G45" s="726"/>
      <c r="H45" s="726"/>
      <c r="I45" s="727"/>
      <c r="J45" s="35" t="s">
        <v>1316</v>
      </c>
      <c r="K45" s="8"/>
    </row>
    <row r="46" spans="2:11" ht="20.100000000000001" customHeight="1" x14ac:dyDescent="0.3">
      <c r="B46" s="743"/>
      <c r="C46" s="521"/>
      <c r="D46" s="725" t="s">
        <v>1317</v>
      </c>
      <c r="E46" s="726"/>
      <c r="F46" s="726"/>
      <c r="G46" s="726"/>
      <c r="H46" s="726"/>
      <c r="I46" s="727"/>
      <c r="J46" s="35"/>
      <c r="K46" s="8"/>
    </row>
    <row r="47" spans="2:11" ht="20.100000000000001" customHeight="1" x14ac:dyDescent="0.3">
      <c r="B47" s="743"/>
      <c r="C47" s="521"/>
      <c r="D47" s="725" t="s">
        <v>1318</v>
      </c>
      <c r="E47" s="726"/>
      <c r="F47" s="726"/>
      <c r="G47" s="726"/>
      <c r="H47" s="726"/>
      <c r="I47" s="727"/>
      <c r="J47" s="35"/>
      <c r="K47" s="8"/>
    </row>
    <row r="48" spans="2:11" ht="20.100000000000001" customHeight="1" x14ac:dyDescent="0.3">
      <c r="B48" s="743"/>
      <c r="C48" s="521"/>
      <c r="D48" s="725" t="s">
        <v>1319</v>
      </c>
      <c r="E48" s="726"/>
      <c r="F48" s="726"/>
      <c r="G48" s="726"/>
      <c r="H48" s="726"/>
      <c r="I48" s="727"/>
      <c r="J48" s="35"/>
      <c r="K48" s="8"/>
    </row>
    <row r="49" spans="1:17" ht="20.100000000000001" customHeight="1" x14ac:dyDescent="0.3">
      <c r="B49" s="743"/>
      <c r="C49" s="13"/>
      <c r="D49" s="725" t="s">
        <v>1320</v>
      </c>
      <c r="E49" s="726"/>
      <c r="F49" s="726"/>
      <c r="G49" s="726"/>
      <c r="H49" s="726"/>
      <c r="I49" s="727"/>
      <c r="J49" s="35"/>
      <c r="K49" s="8"/>
    </row>
    <row r="50" spans="1:17" ht="20.100000000000001" customHeight="1" x14ac:dyDescent="0.3">
      <c r="A50" s="13"/>
      <c r="B50" s="743"/>
      <c r="C50" s="13"/>
      <c r="D50" s="725" t="s">
        <v>1321</v>
      </c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x14ac:dyDescent="0.3">
      <c r="A51" s="13"/>
      <c r="B51" s="743"/>
      <c r="C51" s="13"/>
      <c r="D51" s="725" t="s">
        <v>1322</v>
      </c>
      <c r="E51" s="726"/>
      <c r="F51" s="726"/>
      <c r="G51" s="726"/>
      <c r="H51" s="726"/>
      <c r="I51" s="727"/>
      <c r="J51" s="35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3"/>
      <c r="D52" s="725" t="s">
        <v>1323</v>
      </c>
      <c r="E52" s="726"/>
      <c r="F52" s="726"/>
      <c r="G52" s="726"/>
      <c r="H52" s="726"/>
      <c r="I52" s="727"/>
      <c r="J52" s="35" t="s">
        <v>1324</v>
      </c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13"/>
      <c r="D53" s="725" t="s">
        <v>1325</v>
      </c>
      <c r="E53" s="726"/>
      <c r="F53" s="726"/>
      <c r="G53" s="726"/>
      <c r="H53" s="726"/>
      <c r="I53" s="727"/>
      <c r="J53" s="35"/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13"/>
      <c r="D54" s="725" t="s">
        <v>1328</v>
      </c>
      <c r="E54" s="726"/>
      <c r="F54" s="726"/>
      <c r="G54" s="726"/>
      <c r="H54" s="726"/>
      <c r="I54" s="727"/>
      <c r="J54" s="35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743"/>
      <c r="C55" s="19"/>
      <c r="D55" s="725"/>
      <c r="E55" s="726"/>
      <c r="F55" s="726"/>
      <c r="G55" s="726"/>
      <c r="H55" s="726"/>
      <c r="I55" s="727"/>
      <c r="J55" s="36"/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22" t="s">
        <v>8</v>
      </c>
      <c r="D56" s="752" t="s">
        <v>1330</v>
      </c>
      <c r="E56" s="753"/>
      <c r="F56" s="753"/>
      <c r="G56" s="753"/>
      <c r="H56" s="753"/>
      <c r="I56" s="754"/>
      <c r="J56" s="33" t="s">
        <v>1329</v>
      </c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20">
        <v>4</v>
      </c>
      <c r="D57" s="750" t="s">
        <v>1331</v>
      </c>
      <c r="E57" s="726"/>
      <c r="F57" s="726"/>
      <c r="G57" s="726"/>
      <c r="H57" s="726"/>
      <c r="I57" s="727"/>
      <c r="J57" s="34" t="s">
        <v>1332</v>
      </c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21" t="str">
        <f>IF(C57=1,"[조용환+]",IF(C57=2,"[한만석+]",IF(C57=3,"[남정현+]",IF(C57=4,"[김광표+]","???"))))</f>
        <v>[김광표+]</v>
      </c>
      <c r="D58" s="725" t="s">
        <v>1333</v>
      </c>
      <c r="E58" s="726"/>
      <c r="F58" s="726"/>
      <c r="G58" s="726"/>
      <c r="H58" s="726"/>
      <c r="I58" s="727"/>
      <c r="J58" s="35" t="s">
        <v>1329</v>
      </c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13"/>
      <c r="D59" s="725" t="s">
        <v>1334</v>
      </c>
      <c r="E59" s="726"/>
      <c r="F59" s="726"/>
      <c r="G59" s="726"/>
      <c r="H59" s="726"/>
      <c r="I59" s="727"/>
      <c r="J59" s="35" t="s">
        <v>1329</v>
      </c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13"/>
      <c r="D60" s="725" t="s">
        <v>1335</v>
      </c>
      <c r="E60" s="726"/>
      <c r="F60" s="726"/>
      <c r="G60" s="726"/>
      <c r="H60" s="726"/>
      <c r="I60" s="727"/>
      <c r="J60" s="35" t="s">
        <v>1332</v>
      </c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13"/>
      <c r="D61" s="725" t="s">
        <v>1336</v>
      </c>
      <c r="E61" s="786"/>
      <c r="F61" s="786"/>
      <c r="G61" s="786"/>
      <c r="H61" s="786"/>
      <c r="I61" s="787"/>
      <c r="J61" s="35"/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743"/>
      <c r="C62" s="13"/>
      <c r="D62" s="725" t="s">
        <v>1355</v>
      </c>
      <c r="E62" s="786"/>
      <c r="F62" s="786"/>
      <c r="G62" s="786"/>
      <c r="H62" s="786"/>
      <c r="I62" s="787"/>
      <c r="J62" s="35"/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743"/>
      <c r="C63" s="13"/>
      <c r="D63" s="725" t="s">
        <v>1337</v>
      </c>
      <c r="E63" s="786"/>
      <c r="F63" s="786"/>
      <c r="G63" s="786"/>
      <c r="H63" s="786"/>
      <c r="I63" s="787"/>
      <c r="J63" s="35"/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743"/>
      <c r="C64" s="13"/>
      <c r="D64" s="725" t="s">
        <v>1338</v>
      </c>
      <c r="E64" s="786"/>
      <c r="F64" s="786"/>
      <c r="G64" s="786"/>
      <c r="H64" s="786"/>
      <c r="I64" s="787"/>
      <c r="J64" s="35"/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13"/>
      <c r="B65" s="743"/>
      <c r="C65" s="13"/>
      <c r="D65" s="725"/>
      <c r="E65" s="726"/>
      <c r="F65" s="726"/>
      <c r="G65" s="726"/>
      <c r="H65" s="726"/>
      <c r="I65" s="727"/>
      <c r="J65" s="35"/>
      <c r="K65" s="8"/>
      <c r="L65" s="10"/>
      <c r="M65" s="10"/>
      <c r="N65" s="10"/>
      <c r="O65" s="10"/>
      <c r="P65" s="10"/>
      <c r="Q65" s="10"/>
    </row>
    <row r="66" spans="1:17" ht="20.100000000000001" customHeight="1" thickBot="1" x14ac:dyDescent="0.35">
      <c r="A66" s="13"/>
      <c r="B66" s="746"/>
      <c r="C66" s="25"/>
      <c r="D66" s="761"/>
      <c r="E66" s="762"/>
      <c r="F66" s="762"/>
      <c r="G66" s="762"/>
      <c r="H66" s="762"/>
      <c r="I66" s="763"/>
      <c r="J66" s="37"/>
      <c r="K66" s="8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13"/>
      <c r="B67" s="23" t="s">
        <v>12</v>
      </c>
      <c r="C67" s="17"/>
      <c r="D67" s="17"/>
      <c r="E67" s="17"/>
      <c r="F67" s="17"/>
      <c r="G67" s="17"/>
      <c r="H67" s="17"/>
      <c r="I67" s="17"/>
      <c r="J67" s="17"/>
      <c r="K67" s="8"/>
      <c r="L67" s="10"/>
      <c r="M67" s="10"/>
      <c r="N67" s="10"/>
      <c r="O67" s="10"/>
      <c r="P67" s="10"/>
      <c r="Q67" s="10"/>
    </row>
    <row r="68" spans="1:17" ht="6" customHeight="1" x14ac:dyDescent="0.3">
      <c r="A68" s="13"/>
      <c r="B68" s="17"/>
      <c r="C68" s="17"/>
      <c r="D68" s="17"/>
      <c r="E68" s="17"/>
      <c r="F68" s="17"/>
      <c r="G68" s="17"/>
      <c r="H68" s="17"/>
      <c r="I68" s="17"/>
      <c r="J68" s="17"/>
      <c r="K68" s="8"/>
      <c r="L68" s="10"/>
      <c r="M68" s="10"/>
      <c r="N68" s="10"/>
      <c r="O68" s="10"/>
      <c r="P68" s="10"/>
      <c r="Q68" s="10"/>
    </row>
    <row r="69" spans="1:17" ht="18.75" customHeight="1" thickBot="1" x14ac:dyDescent="0.35">
      <c r="B69" s="1" t="s">
        <v>7</v>
      </c>
      <c r="C69" s="17"/>
      <c r="D69" s="17"/>
      <c r="E69" s="17"/>
      <c r="F69" s="17"/>
      <c r="G69" s="17"/>
      <c r="H69" s="17"/>
      <c r="I69" s="17"/>
      <c r="J69" s="18"/>
      <c r="K69" s="8"/>
      <c r="L69" s="10"/>
      <c r="M69" s="10"/>
      <c r="N69" s="10"/>
      <c r="O69" s="10"/>
      <c r="P69" s="10"/>
      <c r="Q69" s="10"/>
    </row>
    <row r="70" spans="1:17" ht="20.100000000000001" customHeight="1" x14ac:dyDescent="0.3">
      <c r="A70" s="38"/>
      <c r="B70" s="764" t="s">
        <v>1304</v>
      </c>
      <c r="C70" s="765"/>
      <c r="D70" s="765"/>
      <c r="E70" s="765"/>
      <c r="F70" s="765"/>
      <c r="G70" s="765"/>
      <c r="H70" s="765"/>
      <c r="I70" s="765"/>
      <c r="J70" s="766"/>
      <c r="K70" s="39"/>
      <c r="L70" s="10"/>
      <c r="M70" s="10"/>
      <c r="N70" s="10"/>
      <c r="O70" s="10"/>
      <c r="P70" s="10"/>
      <c r="Q70" s="10"/>
    </row>
    <row r="71" spans="1:17" ht="20.100000000000001" customHeight="1" x14ac:dyDescent="0.3">
      <c r="A71" s="38"/>
      <c r="B71" s="767" t="s">
        <v>1050</v>
      </c>
      <c r="C71" s="768"/>
      <c r="D71" s="768"/>
      <c r="E71" s="768"/>
      <c r="F71" s="768"/>
      <c r="G71" s="768"/>
      <c r="H71" s="768"/>
      <c r="I71" s="768"/>
      <c r="J71" s="769"/>
      <c r="K71" s="39"/>
      <c r="L71" s="10"/>
      <c r="M71" s="10"/>
      <c r="N71" s="10"/>
      <c r="O71" s="10"/>
      <c r="P71" s="10"/>
      <c r="Q71" s="10"/>
    </row>
    <row r="72" spans="1:17" ht="20.100000000000001" customHeight="1" x14ac:dyDescent="0.3">
      <c r="A72" s="38"/>
      <c r="B72" s="755" t="s">
        <v>1172</v>
      </c>
      <c r="C72" s="756"/>
      <c r="D72" s="756"/>
      <c r="E72" s="756"/>
      <c r="F72" s="756"/>
      <c r="G72" s="756"/>
      <c r="H72" s="756"/>
      <c r="I72" s="756"/>
      <c r="J72" s="757"/>
      <c r="K72" s="39"/>
      <c r="L72" s="10"/>
      <c r="M72" s="10"/>
      <c r="N72" s="10"/>
      <c r="O72" s="10"/>
      <c r="P72" s="10"/>
      <c r="Q72" s="10"/>
    </row>
    <row r="73" spans="1:17" ht="20.100000000000001" customHeight="1" x14ac:dyDescent="0.3">
      <c r="A73" s="38"/>
      <c r="B73" s="755"/>
      <c r="C73" s="756"/>
      <c r="D73" s="756"/>
      <c r="E73" s="756"/>
      <c r="F73" s="756"/>
      <c r="G73" s="756"/>
      <c r="H73" s="756"/>
      <c r="I73" s="756"/>
      <c r="J73" s="757"/>
      <c r="K73" s="39"/>
      <c r="L73" s="10"/>
      <c r="M73" s="10"/>
      <c r="N73" s="10"/>
      <c r="O73" s="10"/>
      <c r="P73" s="10"/>
      <c r="Q73" s="10"/>
    </row>
    <row r="74" spans="1:17" ht="20.100000000000001" customHeight="1" x14ac:dyDescent="0.3">
      <c r="A74" s="38"/>
      <c r="B74" s="755"/>
      <c r="C74" s="756"/>
      <c r="D74" s="756"/>
      <c r="E74" s="756"/>
      <c r="F74" s="756"/>
      <c r="G74" s="756"/>
      <c r="H74" s="756"/>
      <c r="I74" s="756"/>
      <c r="J74" s="757"/>
      <c r="K74" s="38"/>
    </row>
    <row r="75" spans="1:17" ht="20.100000000000001" customHeight="1" thickBot="1" x14ac:dyDescent="0.35">
      <c r="A75" s="38"/>
      <c r="B75" s="758"/>
      <c r="C75" s="759"/>
      <c r="D75" s="759"/>
      <c r="E75" s="759"/>
      <c r="F75" s="759"/>
      <c r="G75" s="759"/>
      <c r="H75" s="759"/>
      <c r="I75" s="759"/>
      <c r="J75" s="760"/>
      <c r="K75" s="38"/>
    </row>
    <row r="76" spans="1:17" ht="5.25" customHeight="1" x14ac:dyDescent="0.3">
      <c r="B76" s="11"/>
      <c r="C76" s="11"/>
      <c r="D76" s="11"/>
      <c r="E76" s="11"/>
      <c r="F76" s="11"/>
      <c r="G76" s="11"/>
      <c r="H76" s="11"/>
      <c r="I76" s="11"/>
      <c r="J76" s="11"/>
    </row>
    <row r="77" spans="1:17" ht="24.95" customHeight="1" x14ac:dyDescent="0.3">
      <c r="B77" s="12"/>
      <c r="C77" s="12"/>
      <c r="D77" s="12"/>
      <c r="E77" s="12"/>
      <c r="F77" s="12"/>
      <c r="G77" s="12"/>
      <c r="H77" s="12"/>
      <c r="I77" s="12"/>
      <c r="J77" s="12"/>
    </row>
    <row r="78" spans="1:17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1:17" ht="24.95" customHeight="1" x14ac:dyDescent="0.3">
      <c r="B79" s="13"/>
      <c r="C79" s="770"/>
      <c r="D79" s="770"/>
      <c r="E79" s="770"/>
      <c r="F79" s="770"/>
      <c r="G79" s="770"/>
      <c r="H79" s="770"/>
      <c r="I79" s="13"/>
      <c r="J79" s="13"/>
    </row>
    <row r="80" spans="1:17" ht="24.95" customHeight="1" x14ac:dyDescent="0.3">
      <c r="B80" s="13"/>
      <c r="C80" s="14"/>
      <c r="D80" s="14"/>
      <c r="E80" s="14"/>
      <c r="F80" s="14"/>
      <c r="G80" s="14"/>
      <c r="H80" s="14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ht="24.95" customHeight="1" x14ac:dyDescent="0.3">
      <c r="B82" s="13"/>
      <c r="C82" s="770"/>
      <c r="D82" s="770"/>
      <c r="E82" s="770"/>
      <c r="F82" s="770"/>
      <c r="G82" s="770"/>
      <c r="H82" s="770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ht="24.95" customHeight="1" x14ac:dyDescent="0.3">
      <c r="B84" s="13"/>
      <c r="C84" s="13"/>
      <c r="D84" s="13"/>
      <c r="E84" s="14"/>
      <c r="F84" s="14"/>
      <c r="G84" s="14"/>
      <c r="H84" s="14"/>
      <c r="I84" s="14"/>
      <c r="J84" s="14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ht="24.95" customHeight="1" x14ac:dyDescent="0.3">
      <c r="B86" s="13"/>
      <c r="C86" s="13"/>
      <c r="D86" s="14"/>
      <c r="E86" s="14"/>
      <c r="F86" s="14"/>
      <c r="G86" s="14"/>
      <c r="H86" s="14"/>
      <c r="I86" s="14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ht="24.95" customHeight="1" x14ac:dyDescent="0.3">
      <c r="B88" s="13"/>
      <c r="C88" s="13"/>
      <c r="D88" s="14"/>
      <c r="E88" s="14"/>
      <c r="F88" s="14"/>
      <c r="G88" s="14"/>
      <c r="H88" s="14"/>
      <c r="I88" s="14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3"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2:10" x14ac:dyDescent="0.3">
      <c r="B106" s="13"/>
      <c r="C106" s="13"/>
      <c r="D106" s="13"/>
      <c r="E106" s="13"/>
      <c r="F106" s="13"/>
      <c r="G106" s="13"/>
      <c r="H106" s="13"/>
      <c r="I106" s="13"/>
      <c r="J106" s="13"/>
    </row>
  </sheetData>
  <mergeCells count="70">
    <mergeCell ref="D63:I63"/>
    <mergeCell ref="D64:I64"/>
    <mergeCell ref="D52:I52"/>
    <mergeCell ref="D53:I53"/>
    <mergeCell ref="D54:I54"/>
    <mergeCell ref="D61:I61"/>
    <mergeCell ref="D62:I62"/>
    <mergeCell ref="D46:I46"/>
    <mergeCell ref="D47:I47"/>
    <mergeCell ref="D48:I48"/>
    <mergeCell ref="B16:J16"/>
    <mergeCell ref="D22:I22"/>
    <mergeCell ref="D23:I23"/>
    <mergeCell ref="B17:J17"/>
    <mergeCell ref="B20:J20"/>
    <mergeCell ref="B22:B41"/>
    <mergeCell ref="D24:I24"/>
    <mergeCell ref="D25:I25"/>
    <mergeCell ref="D26:I26"/>
    <mergeCell ref="D27:I27"/>
    <mergeCell ref="D28:I28"/>
    <mergeCell ref="D31:I31"/>
    <mergeCell ref="D37:I37"/>
    <mergeCell ref="D29:I29"/>
    <mergeCell ref="B2:J2"/>
    <mergeCell ref="B3:H3"/>
    <mergeCell ref="B6:J6"/>
    <mergeCell ref="B7:J7"/>
    <mergeCell ref="B8:J8"/>
    <mergeCell ref="B9:J9"/>
    <mergeCell ref="B15:J15"/>
    <mergeCell ref="B10:J10"/>
    <mergeCell ref="B11:J11"/>
    <mergeCell ref="B12:J12"/>
    <mergeCell ref="B13:J13"/>
    <mergeCell ref="B14:J14"/>
    <mergeCell ref="D30:I30"/>
    <mergeCell ref="D32:I32"/>
    <mergeCell ref="D33:I33"/>
    <mergeCell ref="D34:I34"/>
    <mergeCell ref="D35:I35"/>
    <mergeCell ref="B42:B66"/>
    <mergeCell ref="C79:H79"/>
    <mergeCell ref="D66:I66"/>
    <mergeCell ref="D44:I44"/>
    <mergeCell ref="D49:I49"/>
    <mergeCell ref="D55:I55"/>
    <mergeCell ref="D56:I56"/>
    <mergeCell ref="D42:I42"/>
    <mergeCell ref="D57:I57"/>
    <mergeCell ref="D58:I58"/>
    <mergeCell ref="D59:I59"/>
    <mergeCell ref="D50:I50"/>
    <mergeCell ref="D51:I51"/>
    <mergeCell ref="D60:I60"/>
    <mergeCell ref="D65:I65"/>
    <mergeCell ref="D45:I45"/>
    <mergeCell ref="C82:H82"/>
    <mergeCell ref="B70:J70"/>
    <mergeCell ref="B71:J71"/>
    <mergeCell ref="B72:J72"/>
    <mergeCell ref="B73:J73"/>
    <mergeCell ref="B74:J74"/>
    <mergeCell ref="B75:J75"/>
    <mergeCell ref="D43:I43"/>
    <mergeCell ref="D36:I36"/>
    <mergeCell ref="D38:I38"/>
    <mergeCell ref="D39:I39"/>
    <mergeCell ref="D40:I40"/>
    <mergeCell ref="D41:I4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51" fitToHeight="99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">
    <tabColor rgb="FFFF0000"/>
  </sheetPr>
  <dimension ref="A1:Q94"/>
  <sheetViews>
    <sheetView showGridLines="0" view="pageBreakPreview" topLeftCell="A31" zoomScale="85" zoomScaleNormal="100" zoomScaleSheetLayoutView="85" workbookViewId="0">
      <selection activeCell="D40" sqref="D40:I40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'11'!B3+1</f>
        <v>46277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 t="s">
        <v>1339</v>
      </c>
      <c r="E38" s="753"/>
      <c r="F38" s="753"/>
      <c r="G38" s="753"/>
      <c r="H38" s="753"/>
      <c r="I38" s="754"/>
      <c r="J38" s="33" t="s">
        <v>1342</v>
      </c>
      <c r="K38" s="8"/>
    </row>
    <row r="39" spans="1:17" ht="20.100000000000001" customHeight="1" x14ac:dyDescent="0.3">
      <c r="B39" s="743"/>
      <c r="C39" s="20">
        <v>3</v>
      </c>
      <c r="D39" s="750" t="s">
        <v>1340</v>
      </c>
      <c r="E39" s="726"/>
      <c r="F39" s="726"/>
      <c r="G39" s="726"/>
      <c r="H39" s="726"/>
      <c r="I39" s="727"/>
      <c r="J39" s="34" t="s">
        <v>1316</v>
      </c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[남정현+]</v>
      </c>
      <c r="D40" s="725" t="s">
        <v>1341</v>
      </c>
      <c r="E40" s="726"/>
      <c r="F40" s="726"/>
      <c r="G40" s="726"/>
      <c r="H40" s="726"/>
      <c r="I40" s="727"/>
      <c r="J40" s="35" t="s">
        <v>1316</v>
      </c>
      <c r="K40" s="8"/>
    </row>
    <row r="41" spans="1:17" ht="20.100000000000001" customHeight="1" x14ac:dyDescent="0.3">
      <c r="B41" s="743"/>
      <c r="C41" s="13"/>
      <c r="D41" s="725" t="s">
        <v>1343</v>
      </c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 t="s">
        <v>1347</v>
      </c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 t="s">
        <v>1348</v>
      </c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3"/>
      <c r="D44" s="725" t="s">
        <v>1344</v>
      </c>
      <c r="E44" s="726"/>
      <c r="F44" s="726"/>
      <c r="G44" s="726"/>
      <c r="H44" s="726"/>
      <c r="I44" s="727"/>
      <c r="J44" s="35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13"/>
      <c r="D45" s="725" t="s">
        <v>1345</v>
      </c>
      <c r="E45" s="726"/>
      <c r="F45" s="726"/>
      <c r="G45" s="726"/>
      <c r="H45" s="726"/>
      <c r="I45" s="727"/>
      <c r="J45" s="35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13"/>
      <c r="D46" s="725" t="s">
        <v>1346</v>
      </c>
      <c r="E46" s="726"/>
      <c r="F46" s="726"/>
      <c r="G46" s="726"/>
      <c r="H46" s="726"/>
      <c r="I46" s="727"/>
      <c r="J46" s="35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19"/>
      <c r="D47" s="725"/>
      <c r="E47" s="726"/>
      <c r="F47" s="726"/>
      <c r="G47" s="726"/>
      <c r="H47" s="726"/>
      <c r="I47" s="727"/>
      <c r="J47" s="36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22" t="s">
        <v>8</v>
      </c>
      <c r="D48" s="752" t="s">
        <v>1349</v>
      </c>
      <c r="E48" s="753"/>
      <c r="F48" s="753"/>
      <c r="G48" s="753"/>
      <c r="H48" s="753"/>
      <c r="I48" s="754"/>
      <c r="J48" s="33" t="s">
        <v>1350</v>
      </c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20">
        <v>4</v>
      </c>
      <c r="D49" s="750" t="s">
        <v>1351</v>
      </c>
      <c r="E49" s="726"/>
      <c r="F49" s="726"/>
      <c r="G49" s="726"/>
      <c r="H49" s="726"/>
      <c r="I49" s="727"/>
      <c r="J49" s="34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21" t="str">
        <f>IF(C49=1,"[조용환+]",IF(C49=2,"[한만석+]",IF(C49=3,"[남정현+]",IF(C49=4,"[김광표+]","???"))))</f>
        <v>[김광표+]</v>
      </c>
      <c r="D50" s="725" t="s">
        <v>1352</v>
      </c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x14ac:dyDescent="0.3">
      <c r="A51" s="13"/>
      <c r="B51" s="743"/>
      <c r="C51" s="13"/>
      <c r="D51" s="725" t="s">
        <v>1353</v>
      </c>
      <c r="E51" s="726"/>
      <c r="F51" s="726"/>
      <c r="G51" s="726"/>
      <c r="H51" s="726"/>
      <c r="I51" s="727"/>
      <c r="J51" s="35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3"/>
      <c r="D52" s="725" t="s">
        <v>1354</v>
      </c>
      <c r="E52" s="726"/>
      <c r="F52" s="726"/>
      <c r="G52" s="726"/>
      <c r="H52" s="726"/>
      <c r="I52" s="727"/>
      <c r="J52" s="35"/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13"/>
      <c r="D53" s="725"/>
      <c r="E53" s="726"/>
      <c r="F53" s="726"/>
      <c r="G53" s="726"/>
      <c r="H53" s="726"/>
      <c r="I53" s="727"/>
      <c r="J53" s="35"/>
      <c r="K53" s="8"/>
      <c r="L53" s="10"/>
      <c r="M53" s="10"/>
      <c r="N53" s="10"/>
      <c r="O53" s="10"/>
      <c r="P53" s="10"/>
      <c r="Q53" s="10"/>
    </row>
    <row r="54" spans="1:17" ht="20.100000000000001" customHeight="1" thickBot="1" x14ac:dyDescent="0.35">
      <c r="A54" s="13"/>
      <c r="B54" s="746"/>
      <c r="C54" s="25"/>
      <c r="D54" s="761"/>
      <c r="E54" s="762"/>
      <c r="F54" s="762"/>
      <c r="G54" s="762"/>
      <c r="H54" s="762"/>
      <c r="I54" s="763"/>
      <c r="J54" s="37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23" t="s">
        <v>12</v>
      </c>
      <c r="C55" s="17"/>
      <c r="D55" s="17"/>
      <c r="E55" s="17"/>
      <c r="F55" s="17"/>
      <c r="G55" s="17"/>
      <c r="H55" s="17"/>
      <c r="I55" s="17"/>
      <c r="J55" s="17"/>
      <c r="K55" s="8"/>
      <c r="L55" s="10"/>
      <c r="M55" s="10"/>
      <c r="N55" s="10"/>
      <c r="O55" s="10"/>
      <c r="P55" s="10"/>
      <c r="Q55" s="10"/>
    </row>
    <row r="56" spans="1:17" ht="6" customHeight="1" x14ac:dyDescent="0.3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8"/>
      <c r="L56" s="10"/>
      <c r="M56" s="10"/>
      <c r="N56" s="10"/>
      <c r="O56" s="10"/>
      <c r="P56" s="10"/>
      <c r="Q56" s="10"/>
    </row>
    <row r="57" spans="1:17" ht="18.75" customHeight="1" thickBot="1" x14ac:dyDescent="0.35">
      <c r="B57" s="1" t="s">
        <v>7</v>
      </c>
      <c r="C57" s="17"/>
      <c r="D57" s="17"/>
      <c r="E57" s="17"/>
      <c r="F57" s="17"/>
      <c r="G57" s="17"/>
      <c r="H57" s="17"/>
      <c r="I57" s="17"/>
      <c r="J57" s="18"/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64" t="s">
        <v>1053</v>
      </c>
      <c r="C58" s="765"/>
      <c r="D58" s="765"/>
      <c r="E58" s="765"/>
      <c r="F58" s="765"/>
      <c r="G58" s="765"/>
      <c r="H58" s="765"/>
      <c r="I58" s="765"/>
      <c r="J58" s="766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67" t="s">
        <v>1051</v>
      </c>
      <c r="C59" s="768"/>
      <c r="D59" s="768"/>
      <c r="E59" s="768"/>
      <c r="F59" s="768"/>
      <c r="G59" s="768"/>
      <c r="H59" s="768"/>
      <c r="I59" s="768"/>
      <c r="J59" s="769"/>
      <c r="K59" s="39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38"/>
      <c r="B60" s="755" t="s">
        <v>1172</v>
      </c>
      <c r="C60" s="756"/>
      <c r="D60" s="756"/>
      <c r="E60" s="756"/>
      <c r="F60" s="756"/>
      <c r="G60" s="756"/>
      <c r="H60" s="756"/>
      <c r="I60" s="756"/>
      <c r="J60" s="757"/>
      <c r="K60" s="39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38"/>
      <c r="B61" s="755"/>
      <c r="C61" s="756"/>
      <c r="D61" s="756"/>
      <c r="E61" s="756"/>
      <c r="F61" s="756"/>
      <c r="G61" s="756"/>
      <c r="H61" s="756"/>
      <c r="I61" s="756"/>
      <c r="J61" s="757"/>
      <c r="K61" s="39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38"/>
      <c r="B62" s="755"/>
      <c r="C62" s="756"/>
      <c r="D62" s="756"/>
      <c r="E62" s="756"/>
      <c r="F62" s="756"/>
      <c r="G62" s="756"/>
      <c r="H62" s="756"/>
      <c r="I62" s="756"/>
      <c r="J62" s="757"/>
      <c r="K62" s="38"/>
    </row>
    <row r="63" spans="1:17" ht="20.100000000000001" customHeight="1" thickBot="1" x14ac:dyDescent="0.35">
      <c r="A63" s="38"/>
      <c r="B63" s="758"/>
      <c r="C63" s="759"/>
      <c r="D63" s="759"/>
      <c r="E63" s="759"/>
      <c r="F63" s="759"/>
      <c r="G63" s="759"/>
      <c r="H63" s="759"/>
      <c r="I63" s="759"/>
      <c r="J63" s="760"/>
      <c r="K63" s="38"/>
    </row>
    <row r="64" spans="1:17" ht="5.25" customHeight="1" x14ac:dyDescent="0.3">
      <c r="B64" s="11"/>
      <c r="C64" s="11"/>
      <c r="D64" s="11"/>
      <c r="E64" s="11"/>
      <c r="F64" s="11"/>
      <c r="G64" s="11"/>
      <c r="H64" s="11"/>
      <c r="I64" s="11"/>
      <c r="J64" s="11"/>
    </row>
    <row r="65" spans="2:10" ht="24.95" customHeight="1" x14ac:dyDescent="0.3">
      <c r="B65" s="12"/>
      <c r="C65" s="12"/>
      <c r="D65" s="12"/>
      <c r="E65" s="12"/>
      <c r="F65" s="12"/>
      <c r="G65" s="12"/>
      <c r="H65" s="12"/>
      <c r="I65" s="12"/>
      <c r="J65" s="12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ht="24.95" customHeight="1" x14ac:dyDescent="0.3">
      <c r="B68" s="13"/>
      <c r="C68" s="14"/>
      <c r="D68" s="14"/>
      <c r="E68" s="14"/>
      <c r="F68" s="14"/>
      <c r="G68" s="14"/>
      <c r="H68" s="14"/>
      <c r="I68" s="13"/>
      <c r="J68" s="13"/>
    </row>
    <row r="69" spans="2:10" x14ac:dyDescent="0.3">
      <c r="B69" s="13"/>
      <c r="C69" s="13"/>
      <c r="D69" s="13"/>
      <c r="E69" s="13"/>
      <c r="F69" s="13"/>
      <c r="G69" s="13"/>
      <c r="H69" s="13"/>
      <c r="I69" s="13"/>
      <c r="J69" s="13"/>
    </row>
    <row r="70" spans="2:10" ht="24.95" customHeight="1" x14ac:dyDescent="0.3">
      <c r="B70" s="13"/>
      <c r="C70" s="770"/>
      <c r="D70" s="770"/>
      <c r="E70" s="770"/>
      <c r="F70" s="770"/>
      <c r="G70" s="770"/>
      <c r="H70" s="770"/>
      <c r="I70" s="13"/>
      <c r="J70" s="13"/>
    </row>
    <row r="71" spans="2:10" x14ac:dyDescent="0.3">
      <c r="B71" s="13"/>
      <c r="C71" s="13"/>
      <c r="D71" s="13"/>
      <c r="E71" s="13"/>
      <c r="F71" s="13"/>
      <c r="G71" s="13"/>
      <c r="H71" s="13"/>
      <c r="I71" s="13"/>
      <c r="J71" s="13"/>
    </row>
    <row r="72" spans="2:10" ht="24.95" customHeight="1" x14ac:dyDescent="0.3">
      <c r="B72" s="13"/>
      <c r="C72" s="13"/>
      <c r="D72" s="13"/>
      <c r="E72" s="14"/>
      <c r="F72" s="14"/>
      <c r="G72" s="14"/>
      <c r="H72" s="14"/>
      <c r="I72" s="14"/>
      <c r="J72" s="14"/>
    </row>
    <row r="73" spans="2:10" x14ac:dyDescent="0.3">
      <c r="B73" s="13"/>
      <c r="C73" s="13"/>
      <c r="D73" s="13"/>
      <c r="E73" s="13"/>
      <c r="F73" s="13"/>
      <c r="G73" s="13"/>
      <c r="H73" s="13"/>
      <c r="I73" s="13"/>
      <c r="J73" s="13"/>
    </row>
    <row r="74" spans="2:10" ht="24.95" customHeight="1" x14ac:dyDescent="0.3">
      <c r="B74" s="13"/>
      <c r="C74" s="13"/>
      <c r="D74" s="14"/>
      <c r="E74" s="14"/>
      <c r="F74" s="14"/>
      <c r="G74" s="14"/>
      <c r="H74" s="14"/>
      <c r="I74" s="14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ht="24.95" customHeight="1" x14ac:dyDescent="0.3">
      <c r="B76" s="13"/>
      <c r="C76" s="13"/>
      <c r="D76" s="14"/>
      <c r="E76" s="14"/>
      <c r="F76" s="14"/>
      <c r="G76" s="14"/>
      <c r="H76" s="14"/>
      <c r="I76" s="14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</sheetData>
  <mergeCells count="58">
    <mergeCell ref="D45:I45"/>
    <mergeCell ref="D46:I46"/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26:I26"/>
    <mergeCell ref="D28:I28"/>
    <mergeCell ref="D29:I29"/>
    <mergeCell ref="D30:I30"/>
    <mergeCell ref="D31:I31"/>
    <mergeCell ref="D25:I25"/>
    <mergeCell ref="B9:J9"/>
    <mergeCell ref="B2:J2"/>
    <mergeCell ref="B3:H3"/>
    <mergeCell ref="B6:J6"/>
    <mergeCell ref="B7:J7"/>
    <mergeCell ref="B8:J8"/>
    <mergeCell ref="B38:B54"/>
    <mergeCell ref="C67:H67"/>
    <mergeCell ref="D54:I54"/>
    <mergeCell ref="D40:I40"/>
    <mergeCell ref="D41:I41"/>
    <mergeCell ref="D47:I47"/>
    <mergeCell ref="D48:I48"/>
    <mergeCell ref="D38:I38"/>
    <mergeCell ref="D49:I49"/>
    <mergeCell ref="D50:I50"/>
    <mergeCell ref="D51:I51"/>
    <mergeCell ref="D42:I42"/>
    <mergeCell ref="D43:I43"/>
    <mergeCell ref="D52:I52"/>
    <mergeCell ref="D53:I53"/>
    <mergeCell ref="D44:I44"/>
    <mergeCell ref="C70:H70"/>
    <mergeCell ref="B58:J58"/>
    <mergeCell ref="B59:J59"/>
    <mergeCell ref="B60:J60"/>
    <mergeCell ref="B61:J61"/>
    <mergeCell ref="B62:J62"/>
    <mergeCell ref="B63:J63"/>
    <mergeCell ref="D39:I39"/>
    <mergeCell ref="D32:I32"/>
    <mergeCell ref="D34:I34"/>
    <mergeCell ref="D35:I35"/>
    <mergeCell ref="D36:I36"/>
    <mergeCell ref="D37:I37"/>
    <mergeCell ref="D33:I33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1" fitToHeight="99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">
    <tabColor rgb="FFFF0000"/>
    <pageSetUpPr fitToPage="1"/>
  </sheetPr>
  <dimension ref="A1:Q91"/>
  <sheetViews>
    <sheetView showGridLines="0" view="pageBreakPreview" topLeftCell="A28" zoomScale="85" zoomScaleNormal="100" zoomScaleSheetLayoutView="85" workbookViewId="0">
      <selection activeCell="D39" sqref="D39:I39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'12'!B3+1</f>
        <v>46278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 t="s">
        <v>1356</v>
      </c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 t="s">
        <v>1357</v>
      </c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 t="s">
        <v>1358</v>
      </c>
      <c r="E40" s="726"/>
      <c r="F40" s="726"/>
      <c r="G40" s="726"/>
      <c r="H40" s="726"/>
      <c r="I40" s="727"/>
      <c r="J40" s="35" t="s">
        <v>1361</v>
      </c>
      <c r="K40" s="8"/>
    </row>
    <row r="41" spans="1:17" ht="20.100000000000001" customHeight="1" x14ac:dyDescent="0.3">
      <c r="B41" s="743"/>
      <c r="C41" s="13"/>
      <c r="D41" s="725" t="s">
        <v>1359</v>
      </c>
      <c r="E41" s="726"/>
      <c r="F41" s="726"/>
      <c r="G41" s="726"/>
      <c r="H41" s="726"/>
      <c r="I41" s="727"/>
      <c r="J41" s="35" t="s">
        <v>1362</v>
      </c>
      <c r="K41" s="8"/>
    </row>
    <row r="42" spans="1:17" ht="20.100000000000001" customHeight="1" x14ac:dyDescent="0.3">
      <c r="A42" s="13"/>
      <c r="B42" s="743"/>
      <c r="C42" s="13"/>
      <c r="D42" s="725" t="s">
        <v>1360</v>
      </c>
      <c r="E42" s="726"/>
      <c r="F42" s="726"/>
      <c r="G42" s="726"/>
      <c r="H42" s="726"/>
      <c r="I42" s="727"/>
      <c r="J42" s="35" t="s">
        <v>1363</v>
      </c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 t="s">
        <v>1364</v>
      </c>
      <c r="E43" s="726"/>
      <c r="F43" s="726"/>
      <c r="G43" s="726"/>
      <c r="H43" s="726"/>
      <c r="I43" s="727"/>
      <c r="J43" s="35" t="s">
        <v>1365</v>
      </c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3"/>
      <c r="D44" s="725" t="s">
        <v>1366</v>
      </c>
      <c r="E44" s="726"/>
      <c r="F44" s="726"/>
      <c r="G44" s="726"/>
      <c r="H44" s="726"/>
      <c r="I44" s="727"/>
      <c r="J44" s="35" t="s">
        <v>1365</v>
      </c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19"/>
      <c r="D45" s="725" t="s">
        <v>1367</v>
      </c>
      <c r="E45" s="726"/>
      <c r="F45" s="726"/>
      <c r="G45" s="726"/>
      <c r="H45" s="726"/>
      <c r="I45" s="727"/>
      <c r="J45" s="36" t="s">
        <v>1362</v>
      </c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2" t="s">
        <v>8</v>
      </c>
      <c r="D46" s="752" t="s">
        <v>1369</v>
      </c>
      <c r="E46" s="753"/>
      <c r="F46" s="753"/>
      <c r="G46" s="753"/>
      <c r="H46" s="753"/>
      <c r="I46" s="754"/>
      <c r="J46" s="33" t="s">
        <v>1368</v>
      </c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0">
        <v>2</v>
      </c>
      <c r="D47" s="750" t="s">
        <v>1371</v>
      </c>
      <c r="E47" s="726"/>
      <c r="F47" s="726"/>
      <c r="G47" s="726"/>
      <c r="H47" s="726"/>
      <c r="I47" s="727"/>
      <c r="J47" s="34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21" t="str">
        <f>IF(C47=1,"[조용환+]",IF(C47=2,"[한만석+]",IF(C47=3,"[남정현+]",IF(C47=4,"[김광표+]","???"))))</f>
        <v>[한만석+]</v>
      </c>
      <c r="D48" s="725" t="s">
        <v>1370</v>
      </c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 t="s">
        <v>1372</v>
      </c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 t="s">
        <v>1373</v>
      </c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 t="s">
        <v>1374</v>
      </c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/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5:I45"/>
    <mergeCell ref="D46:I46"/>
    <mergeCell ref="D38:I38"/>
    <mergeCell ref="D47:I47"/>
    <mergeCell ref="D48:I48"/>
    <mergeCell ref="D42:I42"/>
    <mergeCell ref="D43:I43"/>
    <mergeCell ref="D49:I49"/>
    <mergeCell ref="D50:I50"/>
    <mergeCell ref="D44:I44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7"/>
  <dimension ref="A1:Q110"/>
  <sheetViews>
    <sheetView showGridLines="0" view="pageBreakPreview" topLeftCell="A46" zoomScale="85" zoomScaleNormal="100" zoomScaleSheetLayoutView="85" workbookViewId="0">
      <selection activeCell="D68" sqref="D68:I6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'13'!B3+1</f>
        <v>46279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1378</v>
      </c>
      <c r="C6" s="774"/>
      <c r="D6" s="774"/>
      <c r="E6" s="774"/>
      <c r="F6" s="774"/>
      <c r="G6" s="774"/>
      <c r="H6" s="774"/>
      <c r="I6" s="774"/>
      <c r="J6" s="775"/>
    </row>
    <row r="7" spans="2:10" ht="37.5" customHeight="1" x14ac:dyDescent="0.3">
      <c r="B7" s="777" t="s">
        <v>1380</v>
      </c>
      <c r="C7" s="778"/>
      <c r="D7" s="778"/>
      <c r="E7" s="778"/>
      <c r="F7" s="778"/>
      <c r="G7" s="778"/>
      <c r="H7" s="778"/>
      <c r="I7" s="778"/>
      <c r="J7" s="779"/>
    </row>
    <row r="8" spans="2:10" ht="29.25" customHeight="1" x14ac:dyDescent="0.3">
      <c r="B8" s="795" t="s">
        <v>1381</v>
      </c>
      <c r="C8" s="796"/>
      <c r="D8" s="796"/>
      <c r="E8" s="796"/>
      <c r="F8" s="796"/>
      <c r="G8" s="796"/>
      <c r="H8" s="796"/>
      <c r="I8" s="796"/>
      <c r="J8" s="797"/>
    </row>
    <row r="9" spans="2:10" ht="20.100000000000001" customHeight="1" x14ac:dyDescent="0.3">
      <c r="B9" s="734" t="s">
        <v>1379</v>
      </c>
      <c r="C9" s="735"/>
      <c r="D9" s="735"/>
      <c r="E9" s="735"/>
      <c r="F9" s="735"/>
      <c r="G9" s="735"/>
      <c r="H9" s="735"/>
      <c r="I9" s="735"/>
      <c r="J9" s="736"/>
    </row>
    <row r="10" spans="2:10" ht="20.100000000000001" customHeight="1" x14ac:dyDescent="0.3">
      <c r="B10" s="798" t="s">
        <v>1382</v>
      </c>
      <c r="C10" s="799"/>
      <c r="D10" s="799"/>
      <c r="E10" s="799"/>
      <c r="F10" s="799"/>
      <c r="G10" s="799"/>
      <c r="H10" s="799"/>
      <c r="I10" s="799"/>
      <c r="J10" s="800"/>
    </row>
    <row r="11" spans="2:10" ht="51.75" customHeight="1" x14ac:dyDescent="0.3">
      <c r="B11" s="777" t="s">
        <v>1383</v>
      </c>
      <c r="C11" s="778"/>
      <c r="D11" s="778"/>
      <c r="E11" s="778"/>
      <c r="F11" s="778"/>
      <c r="G11" s="778"/>
      <c r="H11" s="778"/>
      <c r="I11" s="778"/>
      <c r="J11" s="779"/>
    </row>
    <row r="12" spans="2:10" ht="33" customHeight="1" x14ac:dyDescent="0.3">
      <c r="B12" s="777" t="s">
        <v>1384</v>
      </c>
      <c r="C12" s="778"/>
      <c r="D12" s="778"/>
      <c r="E12" s="778"/>
      <c r="F12" s="778"/>
      <c r="G12" s="778"/>
      <c r="H12" s="778"/>
      <c r="I12" s="778"/>
      <c r="J12" s="779"/>
    </row>
    <row r="13" spans="2:10" ht="20.100000000000001" customHeight="1" x14ac:dyDescent="0.3">
      <c r="B13" s="731"/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31" t="s">
        <v>1385</v>
      </c>
      <c r="C14" s="732"/>
      <c r="D14" s="732"/>
      <c r="E14" s="732"/>
      <c r="F14" s="732"/>
      <c r="G14" s="732"/>
      <c r="H14" s="732"/>
      <c r="I14" s="732"/>
      <c r="J14" s="733"/>
    </row>
    <row r="15" spans="2:10" ht="20.100000000000001" customHeight="1" x14ac:dyDescent="0.3">
      <c r="B15" s="734" t="s">
        <v>1386</v>
      </c>
      <c r="C15" s="735"/>
      <c r="D15" s="735"/>
      <c r="E15" s="735"/>
      <c r="F15" s="735"/>
      <c r="G15" s="735"/>
      <c r="H15" s="735"/>
      <c r="I15" s="735"/>
      <c r="J15" s="736"/>
    </row>
    <row r="16" spans="2:10" ht="20.100000000000001" customHeight="1" x14ac:dyDescent="0.3">
      <c r="B16" s="734" t="s">
        <v>1387</v>
      </c>
      <c r="C16" s="735"/>
      <c r="D16" s="735"/>
      <c r="E16" s="735"/>
      <c r="F16" s="735"/>
      <c r="G16" s="735"/>
      <c r="H16" s="735"/>
      <c r="I16" s="735"/>
      <c r="J16" s="736"/>
    </row>
    <row r="17" spans="2:12" ht="20.100000000000001" customHeight="1" x14ac:dyDescent="0.3">
      <c r="B17" s="734" t="s">
        <v>1388</v>
      </c>
      <c r="C17" s="735"/>
      <c r="D17" s="735"/>
      <c r="E17" s="735"/>
      <c r="F17" s="735"/>
      <c r="G17" s="735"/>
      <c r="H17" s="735"/>
      <c r="I17" s="735"/>
      <c r="J17" s="736"/>
    </row>
    <row r="18" spans="2:12" ht="20.100000000000001" customHeight="1" x14ac:dyDescent="0.3">
      <c r="B18" s="731"/>
      <c r="C18" s="732"/>
      <c r="D18" s="732"/>
      <c r="E18" s="732"/>
      <c r="F18" s="732"/>
      <c r="G18" s="732"/>
      <c r="H18" s="732"/>
      <c r="I18" s="732"/>
      <c r="J18" s="733"/>
    </row>
    <row r="19" spans="2:12" ht="20.100000000000001" customHeight="1" x14ac:dyDescent="0.3">
      <c r="B19" s="731"/>
      <c r="C19" s="732"/>
      <c r="D19" s="732"/>
      <c r="E19" s="732"/>
      <c r="F19" s="732"/>
      <c r="G19" s="732"/>
      <c r="H19" s="732"/>
      <c r="I19" s="732"/>
      <c r="J19" s="733"/>
    </row>
    <row r="20" spans="2:12" ht="7.5" customHeight="1" thickBot="1" x14ac:dyDescent="0.35">
      <c r="B20" s="737"/>
      <c r="C20" s="738"/>
      <c r="D20" s="738"/>
      <c r="E20" s="738"/>
      <c r="F20" s="738"/>
      <c r="G20" s="738"/>
      <c r="H20" s="738"/>
      <c r="I20" s="738"/>
      <c r="J20" s="739"/>
    </row>
    <row r="21" spans="2:12" ht="21.75" customHeight="1" x14ac:dyDescent="0.3">
      <c r="B21" s="16"/>
      <c r="C21" s="16"/>
      <c r="D21" s="16"/>
      <c r="E21" s="16"/>
      <c r="F21" s="16"/>
      <c r="G21" s="16"/>
      <c r="H21" s="16"/>
      <c r="I21" s="16"/>
      <c r="J21" s="16"/>
    </row>
    <row r="22" spans="2:12" ht="23.1" customHeight="1" thickBot="1" x14ac:dyDescent="0.35">
      <c r="B22" s="1" t="s">
        <v>1</v>
      </c>
      <c r="I22" s="2"/>
      <c r="J22" s="24" t="s">
        <v>9</v>
      </c>
    </row>
    <row r="23" spans="2:12" ht="24.95" customHeight="1" thickBot="1" x14ac:dyDescent="0.35">
      <c r="B23" s="740" t="s">
        <v>10</v>
      </c>
      <c r="C23" s="741"/>
      <c r="D23" s="741"/>
      <c r="E23" s="741"/>
      <c r="F23" s="741"/>
      <c r="G23" s="741"/>
      <c r="H23" s="741"/>
      <c r="I23" s="741"/>
      <c r="J23" s="742"/>
      <c r="K23" s="8"/>
    </row>
    <row r="24" spans="2:12" ht="20.100000000000001" customHeight="1" x14ac:dyDescent="0.3">
      <c r="B24" s="3" t="s">
        <v>0</v>
      </c>
      <c r="C24" s="31" t="s">
        <v>11</v>
      </c>
      <c r="D24" s="26" t="s">
        <v>5</v>
      </c>
      <c r="E24" s="27"/>
      <c r="F24" s="27"/>
      <c r="G24" s="27"/>
      <c r="H24" s="27"/>
      <c r="I24" s="28"/>
      <c r="J24" s="32" t="s">
        <v>4</v>
      </c>
      <c r="K24" s="8"/>
    </row>
    <row r="25" spans="2:12" ht="20.100000000000001" customHeight="1" x14ac:dyDescent="0.3">
      <c r="B25" s="743" t="s">
        <v>2</v>
      </c>
      <c r="C25" s="29"/>
      <c r="D25" s="752"/>
      <c r="E25" s="753"/>
      <c r="F25" s="753"/>
      <c r="G25" s="753"/>
      <c r="H25" s="753"/>
      <c r="I25" s="754"/>
      <c r="J25" s="33"/>
      <c r="K25" s="8"/>
    </row>
    <row r="26" spans="2:12" ht="20.100000000000001" customHeight="1" x14ac:dyDescent="0.3">
      <c r="B26" s="743"/>
      <c r="C26" s="22" t="s">
        <v>65</v>
      </c>
      <c r="D26" s="750"/>
      <c r="E26" s="726"/>
      <c r="F26" s="726"/>
      <c r="G26" s="726"/>
      <c r="H26" s="726"/>
      <c r="I26" s="727"/>
      <c r="J26" s="34"/>
      <c r="K26" s="8"/>
    </row>
    <row r="27" spans="2:12" ht="20.100000000000001" customHeight="1" x14ac:dyDescent="0.3">
      <c r="B27" s="743"/>
      <c r="C27" s="21" t="s">
        <v>243</v>
      </c>
      <c r="D27" s="725"/>
      <c r="E27" s="726"/>
      <c r="F27" s="726"/>
      <c r="G27" s="726"/>
      <c r="H27" s="726"/>
      <c r="I27" s="727"/>
      <c r="J27" s="35"/>
      <c r="K27" s="8"/>
    </row>
    <row r="28" spans="2:12" ht="20.100000000000001" customHeight="1" x14ac:dyDescent="0.3">
      <c r="B28" s="743"/>
      <c r="C28" s="67"/>
      <c r="D28" s="751"/>
      <c r="E28" s="748"/>
      <c r="F28" s="748"/>
      <c r="G28" s="748"/>
      <c r="H28" s="748"/>
      <c r="I28" s="749"/>
      <c r="J28" s="36"/>
      <c r="K28" s="8"/>
    </row>
    <row r="29" spans="2:12" ht="20.100000000000001" customHeight="1" x14ac:dyDescent="0.3">
      <c r="B29" s="743"/>
      <c r="C29" s="29"/>
      <c r="D29" s="752"/>
      <c r="E29" s="753"/>
      <c r="F29" s="753"/>
      <c r="G29" s="753"/>
      <c r="H29" s="753"/>
      <c r="I29" s="754"/>
      <c r="J29" s="33"/>
      <c r="K29" s="8"/>
    </row>
    <row r="30" spans="2:12" ht="20.100000000000001" customHeight="1" x14ac:dyDescent="0.3">
      <c r="B30" s="743"/>
      <c r="C30" s="22" t="s">
        <v>47</v>
      </c>
      <c r="D30" s="750"/>
      <c r="E30" s="726"/>
      <c r="F30" s="726"/>
      <c r="G30" s="726"/>
      <c r="H30" s="726"/>
      <c r="I30" s="727"/>
      <c r="J30" s="34"/>
      <c r="K30" s="8"/>
    </row>
    <row r="31" spans="2:12" ht="20.100000000000001" customHeight="1" x14ac:dyDescent="0.3">
      <c r="B31" s="743"/>
      <c r="C31" s="21" t="s">
        <v>375</v>
      </c>
      <c r="D31" s="725"/>
      <c r="E31" s="726"/>
      <c r="F31" s="726"/>
      <c r="G31" s="726"/>
      <c r="H31" s="726"/>
      <c r="I31" s="727"/>
      <c r="J31" s="35"/>
      <c r="K31" s="8"/>
    </row>
    <row r="32" spans="2:12" ht="20.100000000000001" customHeight="1" x14ac:dyDescent="0.3">
      <c r="B32" s="743"/>
      <c r="C32" s="21"/>
      <c r="D32" s="751"/>
      <c r="E32" s="748"/>
      <c r="F32" s="748"/>
      <c r="G32" s="748"/>
      <c r="H32" s="748"/>
      <c r="I32" s="749"/>
      <c r="J32" s="35"/>
      <c r="K32" s="8"/>
      <c r="L32" s="9"/>
    </row>
    <row r="33" spans="2:13" ht="20.100000000000001" customHeight="1" x14ac:dyDescent="0.3">
      <c r="B33" s="743"/>
      <c r="C33" s="29"/>
      <c r="D33" s="752"/>
      <c r="E33" s="753"/>
      <c r="F33" s="753"/>
      <c r="G33" s="753"/>
      <c r="H33" s="753"/>
      <c r="I33" s="754"/>
      <c r="J33" s="33"/>
      <c r="K33" s="8"/>
      <c r="L33" s="9"/>
      <c r="M33" s="9"/>
    </row>
    <row r="34" spans="2:13" ht="20.100000000000001" customHeight="1" x14ac:dyDescent="0.3">
      <c r="B34" s="743"/>
      <c r="C34" s="22" t="s">
        <v>48</v>
      </c>
      <c r="D34" s="750"/>
      <c r="E34" s="726"/>
      <c r="F34" s="726"/>
      <c r="G34" s="726"/>
      <c r="H34" s="726"/>
      <c r="I34" s="727"/>
      <c r="J34" s="34"/>
      <c r="K34" s="8"/>
      <c r="L34" s="9"/>
      <c r="M34" s="9"/>
    </row>
    <row r="35" spans="2:13" ht="20.100000000000001" customHeight="1" x14ac:dyDescent="0.3">
      <c r="B35" s="743"/>
      <c r="C35" s="21" t="s">
        <v>66</v>
      </c>
      <c r="D35" s="725"/>
      <c r="E35" s="726"/>
      <c r="F35" s="726"/>
      <c r="G35" s="726"/>
      <c r="H35" s="726"/>
      <c r="I35" s="727"/>
      <c r="J35" s="35"/>
      <c r="K35" s="8"/>
      <c r="L35" s="9"/>
      <c r="M35" s="9"/>
    </row>
    <row r="36" spans="2:13" ht="20.100000000000001" customHeight="1" x14ac:dyDescent="0.3">
      <c r="B36" s="743"/>
      <c r="C36" s="67"/>
      <c r="D36" s="751"/>
      <c r="E36" s="748"/>
      <c r="F36" s="748"/>
      <c r="G36" s="748"/>
      <c r="H36" s="748"/>
      <c r="I36" s="749"/>
      <c r="J36" s="35"/>
      <c r="K36" s="8"/>
    </row>
    <row r="37" spans="2:13" ht="20.100000000000001" customHeight="1" x14ac:dyDescent="0.3">
      <c r="B37" s="743"/>
      <c r="C37" s="29"/>
      <c r="D37" s="752"/>
      <c r="E37" s="753"/>
      <c r="F37" s="753"/>
      <c r="G37" s="753"/>
      <c r="H37" s="753"/>
      <c r="I37" s="754"/>
      <c r="J37" s="33"/>
      <c r="K37" s="8"/>
    </row>
    <row r="38" spans="2:13" ht="20.100000000000001" customHeight="1" x14ac:dyDescent="0.3">
      <c r="B38" s="743"/>
      <c r="C38" s="22" t="s">
        <v>1083</v>
      </c>
      <c r="D38" s="750"/>
      <c r="E38" s="726"/>
      <c r="F38" s="726"/>
      <c r="G38" s="726"/>
      <c r="H38" s="726"/>
      <c r="I38" s="727"/>
      <c r="J38" s="34"/>
      <c r="K38" s="8"/>
    </row>
    <row r="39" spans="2:13" ht="20.100000000000001" customHeight="1" x14ac:dyDescent="0.3">
      <c r="B39" s="743"/>
      <c r="C39" s="21" t="s">
        <v>951</v>
      </c>
      <c r="D39" s="725"/>
      <c r="E39" s="726"/>
      <c r="F39" s="726"/>
      <c r="G39" s="726"/>
      <c r="H39" s="726"/>
      <c r="I39" s="727"/>
      <c r="J39" s="35"/>
      <c r="K39" s="8"/>
    </row>
    <row r="40" spans="2:13" ht="20.100000000000001" customHeight="1" x14ac:dyDescent="0.3">
      <c r="B40" s="743"/>
      <c r="C40" s="67"/>
      <c r="D40" s="751"/>
      <c r="E40" s="748"/>
      <c r="F40" s="748"/>
      <c r="G40" s="748"/>
      <c r="H40" s="748"/>
      <c r="I40" s="749"/>
      <c r="J40" s="35"/>
      <c r="K40" s="8"/>
    </row>
    <row r="41" spans="2:13" ht="20.100000000000001" customHeight="1" x14ac:dyDescent="0.3">
      <c r="B41" s="743"/>
      <c r="C41" s="29"/>
      <c r="D41" s="752"/>
      <c r="E41" s="753"/>
      <c r="F41" s="753"/>
      <c r="G41" s="753"/>
      <c r="H41" s="753"/>
      <c r="I41" s="754"/>
      <c r="J41" s="33"/>
      <c r="K41" s="8"/>
    </row>
    <row r="42" spans="2:13" ht="20.100000000000001" customHeight="1" x14ac:dyDescent="0.3">
      <c r="B42" s="743"/>
      <c r="C42" s="69" t="s">
        <v>49</v>
      </c>
      <c r="D42" s="750"/>
      <c r="E42" s="726"/>
      <c r="F42" s="726"/>
      <c r="G42" s="726"/>
      <c r="H42" s="726"/>
      <c r="I42" s="727"/>
      <c r="J42" s="34"/>
      <c r="K42" s="8"/>
    </row>
    <row r="43" spans="2:13" ht="20.100000000000001" customHeight="1" x14ac:dyDescent="0.3">
      <c r="B43" s="743"/>
      <c r="C43" s="21"/>
      <c r="D43" s="725"/>
      <c r="E43" s="726"/>
      <c r="F43" s="726"/>
      <c r="G43" s="726"/>
      <c r="H43" s="726"/>
      <c r="I43" s="727"/>
      <c r="J43" s="35"/>
      <c r="K43" s="8"/>
    </row>
    <row r="44" spans="2:13" ht="20.100000000000001" customHeight="1" x14ac:dyDescent="0.3">
      <c r="B44" s="744"/>
      <c r="C44" s="67"/>
      <c r="D44" s="751"/>
      <c r="E44" s="748"/>
      <c r="F44" s="748"/>
      <c r="G44" s="748"/>
      <c r="H44" s="748"/>
      <c r="I44" s="749"/>
      <c r="J44" s="35"/>
      <c r="K44" s="8"/>
    </row>
    <row r="45" spans="2:13" ht="20.100000000000001" customHeight="1" x14ac:dyDescent="0.3">
      <c r="B45" s="745" t="s">
        <v>50</v>
      </c>
      <c r="C45" s="68" t="s">
        <v>3</v>
      </c>
      <c r="D45" s="752" t="s">
        <v>1389</v>
      </c>
      <c r="E45" s="753"/>
      <c r="F45" s="753"/>
      <c r="G45" s="753"/>
      <c r="H45" s="753"/>
      <c r="I45" s="754"/>
      <c r="J45" s="33" t="s">
        <v>1413</v>
      </c>
      <c r="K45" s="8"/>
    </row>
    <row r="46" spans="2:13" ht="20.100000000000001" customHeight="1" x14ac:dyDescent="0.3">
      <c r="B46" s="743"/>
      <c r="C46" s="20">
        <v>1</v>
      </c>
      <c r="D46" s="750" t="s">
        <v>1390</v>
      </c>
      <c r="E46" s="726"/>
      <c r="F46" s="726"/>
      <c r="G46" s="726"/>
      <c r="H46" s="726"/>
      <c r="I46" s="727"/>
      <c r="J46" s="34"/>
      <c r="K46" s="8"/>
    </row>
    <row r="47" spans="2:13" ht="20.100000000000001" customHeight="1" x14ac:dyDescent="0.3">
      <c r="B47" s="743"/>
      <c r="C47" s="21" t="str">
        <f>IF(C46=1,"[조용환+]",IF(C46=2,"[한만석+]",IF(C46=3,"[남정현+]",IF(C46=4,"[김광표+]","???"))))</f>
        <v>[조용환+]</v>
      </c>
      <c r="D47" s="725" t="s">
        <v>1391</v>
      </c>
      <c r="E47" s="726"/>
      <c r="F47" s="726"/>
      <c r="G47" s="726"/>
      <c r="H47" s="726"/>
      <c r="I47" s="727"/>
      <c r="J47" s="35"/>
      <c r="K47" s="8"/>
    </row>
    <row r="48" spans="2:13" ht="20.100000000000001" customHeight="1" x14ac:dyDescent="0.3">
      <c r="B48" s="743"/>
      <c r="C48" s="521"/>
      <c r="D48" s="725" t="s">
        <v>1394</v>
      </c>
      <c r="E48" s="726"/>
      <c r="F48" s="726"/>
      <c r="G48" s="726"/>
      <c r="H48" s="726"/>
      <c r="I48" s="727"/>
      <c r="J48" s="35"/>
      <c r="K48" s="8"/>
    </row>
    <row r="49" spans="1:17" ht="20.100000000000001" customHeight="1" x14ac:dyDescent="0.3">
      <c r="B49" s="743"/>
      <c r="C49" s="521"/>
      <c r="D49" s="725" t="s">
        <v>1392</v>
      </c>
      <c r="E49" s="726"/>
      <c r="F49" s="726"/>
      <c r="G49" s="726"/>
      <c r="H49" s="726"/>
      <c r="I49" s="727"/>
      <c r="J49" s="35"/>
      <c r="K49" s="8"/>
    </row>
    <row r="50" spans="1:17" ht="20.100000000000001" customHeight="1" x14ac:dyDescent="0.3">
      <c r="B50" s="743"/>
      <c r="C50" s="521"/>
      <c r="D50" s="725" t="s">
        <v>1393</v>
      </c>
      <c r="E50" s="726"/>
      <c r="F50" s="726"/>
      <c r="G50" s="726"/>
      <c r="H50" s="726"/>
      <c r="I50" s="727"/>
      <c r="J50" s="35"/>
      <c r="K50" s="8"/>
    </row>
    <row r="51" spans="1:17" ht="20.100000000000001" customHeight="1" x14ac:dyDescent="0.3">
      <c r="B51" s="743"/>
      <c r="C51" s="521"/>
      <c r="D51" s="725" t="s">
        <v>1395</v>
      </c>
      <c r="E51" s="726"/>
      <c r="F51" s="726"/>
      <c r="G51" s="726"/>
      <c r="H51" s="726"/>
      <c r="I51" s="727"/>
      <c r="J51" s="35"/>
      <c r="K51" s="8"/>
    </row>
    <row r="52" spans="1:17" ht="20.100000000000001" customHeight="1" x14ac:dyDescent="0.3">
      <c r="B52" s="743"/>
      <c r="C52" s="521"/>
      <c r="D52" s="725" t="s">
        <v>1396</v>
      </c>
      <c r="E52" s="726"/>
      <c r="F52" s="726"/>
      <c r="G52" s="726"/>
      <c r="H52" s="726"/>
      <c r="I52" s="727"/>
      <c r="J52" s="35"/>
      <c r="K52" s="8"/>
    </row>
    <row r="53" spans="1:17" ht="20.100000000000001" customHeight="1" x14ac:dyDescent="0.3">
      <c r="B53" s="743"/>
      <c r="C53" s="521"/>
      <c r="D53" s="725" t="s">
        <v>1397</v>
      </c>
      <c r="E53" s="726"/>
      <c r="F53" s="726"/>
      <c r="G53" s="726"/>
      <c r="H53" s="726"/>
      <c r="I53" s="727"/>
      <c r="J53" s="35"/>
      <c r="K53" s="8"/>
    </row>
    <row r="54" spans="1:17" ht="20.100000000000001" customHeight="1" x14ac:dyDescent="0.3">
      <c r="B54" s="743"/>
      <c r="C54" s="521"/>
      <c r="D54" s="725" t="s">
        <v>1398</v>
      </c>
      <c r="E54" s="726"/>
      <c r="F54" s="726"/>
      <c r="G54" s="726"/>
      <c r="H54" s="726"/>
      <c r="I54" s="727"/>
      <c r="J54" s="35"/>
      <c r="K54" s="8"/>
    </row>
    <row r="55" spans="1:17" ht="20.100000000000001" customHeight="1" x14ac:dyDescent="0.3">
      <c r="B55" s="743"/>
      <c r="C55" s="521"/>
      <c r="D55" s="725" t="s">
        <v>1399</v>
      </c>
      <c r="E55" s="726"/>
      <c r="F55" s="726"/>
      <c r="G55" s="726"/>
      <c r="H55" s="726"/>
      <c r="I55" s="727"/>
      <c r="J55" s="35"/>
      <c r="K55" s="8"/>
    </row>
    <row r="56" spans="1:17" ht="20.100000000000001" customHeight="1" x14ac:dyDescent="0.3">
      <c r="B56" s="743"/>
      <c r="C56" s="521"/>
      <c r="D56" s="725" t="s">
        <v>1400</v>
      </c>
      <c r="E56" s="726"/>
      <c r="F56" s="726"/>
      <c r="G56" s="726"/>
      <c r="H56" s="726"/>
      <c r="I56" s="727"/>
      <c r="J56" s="35"/>
      <c r="K56" s="8"/>
    </row>
    <row r="57" spans="1:17" ht="20.100000000000001" customHeight="1" x14ac:dyDescent="0.3">
      <c r="B57" s="743"/>
      <c r="C57" s="521"/>
      <c r="D57" s="725" t="s">
        <v>1401</v>
      </c>
      <c r="E57" s="726"/>
      <c r="F57" s="726"/>
      <c r="G57" s="726"/>
      <c r="H57" s="726"/>
      <c r="I57" s="727"/>
      <c r="J57" s="35"/>
      <c r="K57" s="8"/>
    </row>
    <row r="58" spans="1:17" ht="20.100000000000001" customHeight="1" x14ac:dyDescent="0.3">
      <c r="B58" s="743"/>
      <c r="C58" s="521"/>
      <c r="D58" s="725" t="s">
        <v>1402</v>
      </c>
      <c r="E58" s="726"/>
      <c r="F58" s="726"/>
      <c r="G58" s="726"/>
      <c r="H58" s="726"/>
      <c r="I58" s="727"/>
      <c r="J58" s="35"/>
      <c r="K58" s="8"/>
    </row>
    <row r="59" spans="1:17" ht="20.100000000000001" customHeight="1" x14ac:dyDescent="0.3">
      <c r="B59" s="743"/>
      <c r="C59" s="13"/>
      <c r="D59" s="725" t="s">
        <v>1403</v>
      </c>
      <c r="E59" s="726"/>
      <c r="F59" s="726"/>
      <c r="G59" s="726"/>
      <c r="H59" s="726"/>
      <c r="I59" s="727"/>
      <c r="J59" s="35"/>
      <c r="K59" s="8"/>
    </row>
    <row r="60" spans="1:17" ht="20.100000000000001" customHeight="1" x14ac:dyDescent="0.3">
      <c r="A60" s="13"/>
      <c r="B60" s="743"/>
      <c r="C60" s="13"/>
      <c r="D60" s="725" t="s">
        <v>1404</v>
      </c>
      <c r="E60" s="726"/>
      <c r="F60" s="726"/>
      <c r="G60" s="726"/>
      <c r="H60" s="726"/>
      <c r="I60" s="727"/>
      <c r="J60" s="35"/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13"/>
      <c r="D61" s="725" t="s">
        <v>1405</v>
      </c>
      <c r="E61" s="726"/>
      <c r="F61" s="726"/>
      <c r="G61" s="726"/>
      <c r="H61" s="726"/>
      <c r="I61" s="727"/>
      <c r="J61" s="35"/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743"/>
      <c r="C62" s="19"/>
      <c r="D62" s="725"/>
      <c r="E62" s="726"/>
      <c r="F62" s="726"/>
      <c r="G62" s="726"/>
      <c r="H62" s="726"/>
      <c r="I62" s="727"/>
      <c r="J62" s="36"/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743"/>
      <c r="C63" s="22" t="s">
        <v>8</v>
      </c>
      <c r="D63" s="752" t="s">
        <v>1410</v>
      </c>
      <c r="E63" s="753"/>
      <c r="F63" s="753"/>
      <c r="G63" s="753"/>
      <c r="H63" s="753"/>
      <c r="I63" s="754"/>
      <c r="J63" s="33"/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743"/>
      <c r="C64" s="20">
        <v>2</v>
      </c>
      <c r="D64" s="750" t="s">
        <v>1406</v>
      </c>
      <c r="E64" s="726"/>
      <c r="F64" s="726"/>
      <c r="G64" s="726"/>
      <c r="H64" s="726"/>
      <c r="I64" s="727"/>
      <c r="J64" s="34"/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13"/>
      <c r="B65" s="743"/>
      <c r="C65" s="21" t="str">
        <f>IF(C64=1,"[조용환+]",IF(C64=2,"[한만석+]",IF(C64=3,"[남정현+]",IF(C64=4,"[김광표+]","???"))))</f>
        <v>[한만석+]</v>
      </c>
      <c r="D65" s="725" t="s">
        <v>1407</v>
      </c>
      <c r="E65" s="726"/>
      <c r="F65" s="726"/>
      <c r="G65" s="726"/>
      <c r="H65" s="726"/>
      <c r="I65" s="727"/>
      <c r="J65" s="35"/>
      <c r="K65" s="8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13"/>
      <c r="B66" s="743"/>
      <c r="C66" s="13"/>
      <c r="D66" s="725" t="s">
        <v>1408</v>
      </c>
      <c r="E66" s="726"/>
      <c r="F66" s="726"/>
      <c r="G66" s="726"/>
      <c r="H66" s="726"/>
      <c r="I66" s="727"/>
      <c r="J66" s="35"/>
      <c r="K66" s="8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13"/>
      <c r="B67" s="743"/>
      <c r="C67" s="13"/>
      <c r="D67" s="725" t="s">
        <v>1409</v>
      </c>
      <c r="E67" s="726"/>
      <c r="F67" s="726"/>
      <c r="G67" s="726"/>
      <c r="H67" s="726"/>
      <c r="I67" s="727"/>
      <c r="J67" s="35"/>
      <c r="K67" s="8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13"/>
      <c r="B68" s="743"/>
      <c r="C68" s="13"/>
      <c r="D68" s="725" t="s">
        <v>1415</v>
      </c>
      <c r="E68" s="726"/>
      <c r="F68" s="726"/>
      <c r="G68" s="726"/>
      <c r="H68" s="726"/>
      <c r="I68" s="727"/>
      <c r="J68" s="35"/>
      <c r="K68" s="8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13"/>
      <c r="B69" s="743"/>
      <c r="C69" s="13"/>
      <c r="D69" s="728" t="s">
        <v>1411</v>
      </c>
      <c r="E69" s="729"/>
      <c r="F69" s="729"/>
      <c r="G69" s="729"/>
      <c r="H69" s="729"/>
      <c r="I69" s="730"/>
      <c r="J69" s="35" t="s">
        <v>1412</v>
      </c>
      <c r="K69" s="8"/>
      <c r="L69" s="10"/>
      <c r="M69" s="10"/>
      <c r="N69" s="10"/>
      <c r="O69" s="10"/>
      <c r="P69" s="10"/>
      <c r="Q69" s="10"/>
    </row>
    <row r="70" spans="1:17" ht="20.100000000000001" customHeight="1" thickBot="1" x14ac:dyDescent="0.35">
      <c r="A70" s="13"/>
      <c r="B70" s="746"/>
      <c r="C70" s="25"/>
      <c r="D70" s="761" t="s">
        <v>1414</v>
      </c>
      <c r="E70" s="762"/>
      <c r="F70" s="762"/>
      <c r="G70" s="762"/>
      <c r="H70" s="762"/>
      <c r="I70" s="763"/>
      <c r="J70" s="37"/>
      <c r="K70" s="8"/>
      <c r="L70" s="10"/>
      <c r="M70" s="10"/>
      <c r="N70" s="10"/>
      <c r="O70" s="10"/>
      <c r="P70" s="10"/>
      <c r="Q70" s="10"/>
    </row>
    <row r="71" spans="1:17" ht="20.100000000000001" customHeight="1" x14ac:dyDescent="0.3">
      <c r="A71" s="13"/>
      <c r="B71" s="23" t="s">
        <v>12</v>
      </c>
      <c r="C71" s="17"/>
      <c r="D71" s="17"/>
      <c r="E71" s="17"/>
      <c r="F71" s="17"/>
      <c r="G71" s="17"/>
      <c r="H71" s="17"/>
      <c r="I71" s="17"/>
      <c r="J71" s="17"/>
      <c r="K71" s="8"/>
      <c r="L71" s="10"/>
      <c r="M71" s="10"/>
      <c r="N71" s="10"/>
      <c r="O71" s="10"/>
      <c r="P71" s="10"/>
      <c r="Q71" s="10"/>
    </row>
    <row r="72" spans="1:17" ht="6" customHeight="1" x14ac:dyDescent="0.3">
      <c r="A72" s="13"/>
      <c r="B72" s="17"/>
      <c r="C72" s="17"/>
      <c r="D72" s="17"/>
      <c r="E72" s="17"/>
      <c r="F72" s="17"/>
      <c r="G72" s="17"/>
      <c r="H72" s="17"/>
      <c r="I72" s="17"/>
      <c r="J72" s="17"/>
      <c r="K72" s="8"/>
      <c r="L72" s="10"/>
      <c r="M72" s="10"/>
      <c r="N72" s="10"/>
      <c r="O72" s="10"/>
      <c r="P72" s="10"/>
      <c r="Q72" s="10"/>
    </row>
    <row r="73" spans="1:17" ht="18.75" customHeight="1" thickBot="1" x14ac:dyDescent="0.35">
      <c r="B73" s="1" t="s">
        <v>7</v>
      </c>
      <c r="C73" s="17"/>
      <c r="D73" s="17"/>
      <c r="E73" s="17"/>
      <c r="F73" s="17"/>
      <c r="G73" s="17"/>
      <c r="H73" s="17"/>
      <c r="I73" s="17"/>
      <c r="J73" s="18"/>
      <c r="K73" s="8"/>
      <c r="L73" s="10"/>
      <c r="M73" s="10"/>
      <c r="N73" s="10"/>
      <c r="O73" s="10"/>
      <c r="P73" s="10"/>
      <c r="Q73" s="10"/>
    </row>
    <row r="74" spans="1:17" ht="20.100000000000001" customHeight="1" x14ac:dyDescent="0.3">
      <c r="A74" s="38"/>
      <c r="B74" s="764" t="s">
        <v>1183</v>
      </c>
      <c r="C74" s="765"/>
      <c r="D74" s="765"/>
      <c r="E74" s="765"/>
      <c r="F74" s="765"/>
      <c r="G74" s="765"/>
      <c r="H74" s="765"/>
      <c r="I74" s="765"/>
      <c r="J74" s="766"/>
      <c r="K74" s="39"/>
      <c r="L74" s="10"/>
      <c r="M74" s="10"/>
      <c r="N74" s="10"/>
      <c r="O74" s="10"/>
      <c r="P74" s="10"/>
      <c r="Q74" s="10"/>
    </row>
    <row r="75" spans="1:17" ht="20.100000000000001" customHeight="1" x14ac:dyDescent="0.3">
      <c r="A75" s="38"/>
      <c r="B75" s="767" t="s">
        <v>1377</v>
      </c>
      <c r="C75" s="768"/>
      <c r="D75" s="768"/>
      <c r="E75" s="768"/>
      <c r="F75" s="768"/>
      <c r="G75" s="768"/>
      <c r="H75" s="768"/>
      <c r="I75" s="768"/>
      <c r="J75" s="769"/>
      <c r="K75" s="39"/>
      <c r="L75" s="10"/>
      <c r="M75" s="10"/>
      <c r="N75" s="10"/>
      <c r="O75" s="10"/>
      <c r="P75" s="10"/>
      <c r="Q75" s="10"/>
    </row>
    <row r="76" spans="1:17" ht="20.100000000000001" customHeight="1" x14ac:dyDescent="0.3">
      <c r="A76" s="38"/>
      <c r="B76" s="755"/>
      <c r="C76" s="756"/>
      <c r="D76" s="756"/>
      <c r="E76" s="756"/>
      <c r="F76" s="756"/>
      <c r="G76" s="756"/>
      <c r="H76" s="756"/>
      <c r="I76" s="756"/>
      <c r="J76" s="757"/>
      <c r="K76" s="39"/>
      <c r="L76" s="10"/>
      <c r="M76" s="10"/>
      <c r="N76" s="10"/>
      <c r="O76" s="10"/>
      <c r="P76" s="10"/>
      <c r="Q76" s="10"/>
    </row>
    <row r="77" spans="1:17" ht="20.100000000000001" customHeight="1" x14ac:dyDescent="0.3">
      <c r="A77" s="38"/>
      <c r="B77" s="755"/>
      <c r="C77" s="756"/>
      <c r="D77" s="756"/>
      <c r="E77" s="756"/>
      <c r="F77" s="756"/>
      <c r="G77" s="756"/>
      <c r="H77" s="756"/>
      <c r="I77" s="756"/>
      <c r="J77" s="757"/>
      <c r="K77" s="39"/>
      <c r="L77" s="10"/>
      <c r="M77" s="10"/>
      <c r="N77" s="10"/>
      <c r="O77" s="10"/>
      <c r="P77" s="10"/>
      <c r="Q77" s="10"/>
    </row>
    <row r="78" spans="1:17" ht="20.100000000000001" customHeight="1" x14ac:dyDescent="0.3">
      <c r="A78" s="38"/>
      <c r="B78" s="755"/>
      <c r="C78" s="756"/>
      <c r="D78" s="756"/>
      <c r="E78" s="756"/>
      <c r="F78" s="756"/>
      <c r="G78" s="756"/>
      <c r="H78" s="756"/>
      <c r="I78" s="756"/>
      <c r="J78" s="757"/>
      <c r="K78" s="38"/>
    </row>
    <row r="79" spans="1:17" ht="20.100000000000001" customHeight="1" thickBot="1" x14ac:dyDescent="0.35">
      <c r="A79" s="38"/>
      <c r="B79" s="758"/>
      <c r="C79" s="759"/>
      <c r="D79" s="759"/>
      <c r="E79" s="759"/>
      <c r="F79" s="759"/>
      <c r="G79" s="759"/>
      <c r="H79" s="759"/>
      <c r="I79" s="759"/>
      <c r="J79" s="760"/>
      <c r="K79" s="38"/>
    </row>
    <row r="80" spans="1:17" ht="5.25" customHeight="1" x14ac:dyDescent="0.3">
      <c r="B80" s="11"/>
      <c r="C80" s="11"/>
      <c r="D80" s="11"/>
      <c r="E80" s="11"/>
      <c r="F80" s="11"/>
      <c r="G80" s="11"/>
      <c r="H80" s="11"/>
      <c r="I80" s="11"/>
      <c r="J80" s="11"/>
    </row>
    <row r="81" spans="2:10" ht="24.95" customHeight="1" x14ac:dyDescent="0.3">
      <c r="B81" s="12"/>
      <c r="C81" s="12"/>
      <c r="D81" s="12"/>
      <c r="E81" s="12"/>
      <c r="F81" s="12"/>
      <c r="G81" s="12"/>
      <c r="H81" s="12"/>
      <c r="I81" s="12"/>
      <c r="J81" s="12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ht="24.95" customHeight="1" x14ac:dyDescent="0.3">
      <c r="B83" s="13"/>
      <c r="C83" s="770"/>
      <c r="D83" s="770"/>
      <c r="E83" s="770"/>
      <c r="F83" s="770"/>
      <c r="G83" s="770"/>
      <c r="H83" s="770"/>
      <c r="I83" s="13"/>
      <c r="J83" s="13"/>
    </row>
    <row r="84" spans="2:10" ht="24.95" customHeight="1" x14ac:dyDescent="0.3">
      <c r="B84" s="13"/>
      <c r="C84" s="14"/>
      <c r="D84" s="14"/>
      <c r="E84" s="14"/>
      <c r="F84" s="14"/>
      <c r="G84" s="14"/>
      <c r="H84" s="14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ht="24.95" customHeight="1" x14ac:dyDescent="0.3">
      <c r="B86" s="13"/>
      <c r="C86" s="770"/>
      <c r="D86" s="770"/>
      <c r="E86" s="770"/>
      <c r="F86" s="770"/>
      <c r="G86" s="770"/>
      <c r="H86" s="770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ht="24.95" customHeight="1" x14ac:dyDescent="0.3">
      <c r="B88" s="13"/>
      <c r="C88" s="13"/>
      <c r="D88" s="13"/>
      <c r="E88" s="14"/>
      <c r="F88" s="14"/>
      <c r="G88" s="14"/>
      <c r="H88" s="14"/>
      <c r="I88" s="14"/>
      <c r="J88" s="14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ht="24.95" customHeight="1" x14ac:dyDescent="0.3">
      <c r="B90" s="13"/>
      <c r="C90" s="13"/>
      <c r="D90" s="14"/>
      <c r="E90" s="14"/>
      <c r="F90" s="14"/>
      <c r="G90" s="14"/>
      <c r="H90" s="14"/>
      <c r="I90" s="14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ht="24.95" customHeight="1" x14ac:dyDescent="0.3">
      <c r="B92" s="13"/>
      <c r="C92" s="13"/>
      <c r="D92" s="14"/>
      <c r="E92" s="14"/>
      <c r="F92" s="14"/>
      <c r="G92" s="14"/>
      <c r="H92" s="14"/>
      <c r="I92" s="14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3"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2:10" x14ac:dyDescent="0.3"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2:10" x14ac:dyDescent="0.3"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2:10" x14ac:dyDescent="0.3"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2:10" x14ac:dyDescent="0.3"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2:10" x14ac:dyDescent="0.3">
      <c r="B110" s="13"/>
      <c r="C110" s="13"/>
      <c r="D110" s="13"/>
      <c r="E110" s="13"/>
      <c r="F110" s="13"/>
      <c r="G110" s="13"/>
      <c r="H110" s="13"/>
      <c r="I110" s="13"/>
      <c r="J110" s="13"/>
    </row>
  </sheetData>
  <mergeCells count="74">
    <mergeCell ref="D55:I55"/>
    <mergeCell ref="D56:I56"/>
    <mergeCell ref="D32:I32"/>
    <mergeCell ref="D33:I33"/>
    <mergeCell ref="D35:I35"/>
    <mergeCell ref="B18:J18"/>
    <mergeCell ref="D36:I36"/>
    <mergeCell ref="B19:J19"/>
    <mergeCell ref="D25:I25"/>
    <mergeCell ref="D26:I26"/>
    <mergeCell ref="B20:J20"/>
    <mergeCell ref="B23:J23"/>
    <mergeCell ref="B25:B44"/>
    <mergeCell ref="D27:I27"/>
    <mergeCell ref="D28:I28"/>
    <mergeCell ref="D29:I29"/>
    <mergeCell ref="D30:I30"/>
    <mergeCell ref="D34:I34"/>
    <mergeCell ref="D31:I31"/>
    <mergeCell ref="D37:I37"/>
    <mergeCell ref="D38:I38"/>
    <mergeCell ref="B2:J2"/>
    <mergeCell ref="B3:H3"/>
    <mergeCell ref="B6:J6"/>
    <mergeCell ref="B7:J7"/>
    <mergeCell ref="B17:J17"/>
    <mergeCell ref="B8:J8"/>
    <mergeCell ref="B9:J9"/>
    <mergeCell ref="B14:J14"/>
    <mergeCell ref="B15:J15"/>
    <mergeCell ref="B16:J16"/>
    <mergeCell ref="B10:J10"/>
    <mergeCell ref="B11:J11"/>
    <mergeCell ref="B12:J12"/>
    <mergeCell ref="B13:J13"/>
    <mergeCell ref="B45:B70"/>
    <mergeCell ref="C83:H83"/>
    <mergeCell ref="D70:I70"/>
    <mergeCell ref="D47:I47"/>
    <mergeCell ref="D59:I59"/>
    <mergeCell ref="D62:I62"/>
    <mergeCell ref="D63:I63"/>
    <mergeCell ref="D45:I45"/>
    <mergeCell ref="D64:I64"/>
    <mergeCell ref="D65:I65"/>
    <mergeCell ref="D66:I66"/>
    <mergeCell ref="D60:I60"/>
    <mergeCell ref="D61:I61"/>
    <mergeCell ref="D67:I67"/>
    <mergeCell ref="D68:I68"/>
    <mergeCell ref="D48:I48"/>
    <mergeCell ref="C86:H86"/>
    <mergeCell ref="B74:J74"/>
    <mergeCell ref="B75:J75"/>
    <mergeCell ref="B76:J76"/>
    <mergeCell ref="B77:J77"/>
    <mergeCell ref="B78:J78"/>
    <mergeCell ref="B79:J79"/>
    <mergeCell ref="D69:I69"/>
    <mergeCell ref="D46:I46"/>
    <mergeCell ref="D39:I39"/>
    <mergeCell ref="D41:I41"/>
    <mergeCell ref="D42:I42"/>
    <mergeCell ref="D43:I43"/>
    <mergeCell ref="D44:I44"/>
    <mergeCell ref="D49:I49"/>
    <mergeCell ref="D50:I50"/>
    <mergeCell ref="D51:I51"/>
    <mergeCell ref="D52:I52"/>
    <mergeCell ref="D53:I53"/>
    <mergeCell ref="D54:I54"/>
    <mergeCell ref="D40:I40"/>
    <mergeCell ref="D58:I58"/>
    <mergeCell ref="D57:I57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47" fitToHeight="99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/>
  <dimension ref="A1:Q105"/>
  <sheetViews>
    <sheetView showGridLines="0" view="pageBreakPreview" topLeftCell="A49" zoomScale="85" zoomScaleNormal="100" zoomScaleSheetLayoutView="85" workbookViewId="0">
      <selection activeCell="D64" sqref="D64:I64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'14'!B3+1</f>
        <v>46280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1417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4" t="s">
        <v>1418</v>
      </c>
      <c r="C7" s="735"/>
      <c r="D7" s="735"/>
      <c r="E7" s="735"/>
      <c r="F7" s="735"/>
      <c r="G7" s="735"/>
      <c r="H7" s="735"/>
      <c r="I7" s="735"/>
      <c r="J7" s="736"/>
    </row>
    <row r="8" spans="2:10" ht="45.75" customHeight="1" x14ac:dyDescent="0.3">
      <c r="B8" s="780" t="s">
        <v>1419</v>
      </c>
      <c r="C8" s="781"/>
      <c r="D8" s="781"/>
      <c r="E8" s="781"/>
      <c r="F8" s="781"/>
      <c r="G8" s="781"/>
      <c r="H8" s="781"/>
      <c r="I8" s="781"/>
      <c r="J8" s="782"/>
    </row>
    <row r="9" spans="2:10" ht="20.100000000000001" customHeight="1" x14ac:dyDescent="0.3">
      <c r="B9" s="731" t="s">
        <v>1426</v>
      </c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4" t="s">
        <v>1420</v>
      </c>
      <c r="C10" s="735"/>
      <c r="D10" s="735"/>
      <c r="E10" s="735"/>
      <c r="F10" s="735"/>
      <c r="G10" s="735"/>
      <c r="H10" s="735"/>
      <c r="I10" s="735"/>
      <c r="J10" s="736"/>
    </row>
    <row r="11" spans="2:10" ht="20.100000000000001" customHeight="1" x14ac:dyDescent="0.3">
      <c r="B11" s="731" t="s">
        <v>1425</v>
      </c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1" t="s">
        <v>1421</v>
      </c>
      <c r="C12" s="732"/>
      <c r="D12" s="732"/>
      <c r="E12" s="732"/>
      <c r="F12" s="732"/>
      <c r="G12" s="732"/>
      <c r="H12" s="732"/>
      <c r="I12" s="732"/>
      <c r="J12" s="733"/>
    </row>
    <row r="13" spans="2:10" ht="20.100000000000001" customHeight="1" x14ac:dyDescent="0.3">
      <c r="B13" s="731"/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31" t="s">
        <v>1422</v>
      </c>
      <c r="C14" s="732"/>
      <c r="D14" s="732"/>
      <c r="E14" s="732"/>
      <c r="F14" s="732"/>
      <c r="G14" s="732"/>
      <c r="H14" s="732"/>
      <c r="I14" s="732"/>
      <c r="J14" s="733"/>
    </row>
    <row r="15" spans="2:10" ht="20.100000000000001" customHeight="1" x14ac:dyDescent="0.3">
      <c r="B15" s="734" t="s">
        <v>1423</v>
      </c>
      <c r="C15" s="735"/>
      <c r="D15" s="735"/>
      <c r="E15" s="735"/>
      <c r="F15" s="735"/>
      <c r="G15" s="735"/>
      <c r="H15" s="735"/>
      <c r="I15" s="735"/>
      <c r="J15" s="736"/>
    </row>
    <row r="16" spans="2:10" ht="20.100000000000001" customHeight="1" x14ac:dyDescent="0.3">
      <c r="B16" s="734" t="s">
        <v>1424</v>
      </c>
      <c r="C16" s="735"/>
      <c r="D16" s="735"/>
      <c r="E16" s="735"/>
      <c r="F16" s="735"/>
      <c r="G16" s="735"/>
      <c r="H16" s="735"/>
      <c r="I16" s="735"/>
      <c r="J16" s="736"/>
    </row>
    <row r="17" spans="2:12" ht="20.100000000000001" customHeight="1" x14ac:dyDescent="0.3">
      <c r="B17" s="731"/>
      <c r="C17" s="732"/>
      <c r="D17" s="732"/>
      <c r="E17" s="732"/>
      <c r="F17" s="732"/>
      <c r="G17" s="732"/>
      <c r="H17" s="732"/>
      <c r="I17" s="732"/>
      <c r="J17" s="733"/>
    </row>
    <row r="18" spans="2:12" ht="20.100000000000001" customHeight="1" x14ac:dyDescent="0.3">
      <c r="B18" s="731"/>
      <c r="C18" s="732"/>
      <c r="D18" s="732"/>
      <c r="E18" s="732"/>
      <c r="F18" s="732"/>
      <c r="G18" s="732"/>
      <c r="H18" s="732"/>
      <c r="I18" s="732"/>
      <c r="J18" s="733"/>
    </row>
    <row r="19" spans="2:12" ht="20.100000000000001" customHeight="1" x14ac:dyDescent="0.3">
      <c r="B19" s="731"/>
      <c r="C19" s="732"/>
      <c r="D19" s="732"/>
      <c r="E19" s="732"/>
      <c r="F19" s="732"/>
      <c r="G19" s="732"/>
      <c r="H19" s="732"/>
      <c r="I19" s="732"/>
      <c r="J19" s="733"/>
    </row>
    <row r="20" spans="2:12" ht="7.5" customHeight="1" thickBot="1" x14ac:dyDescent="0.35">
      <c r="B20" s="737"/>
      <c r="C20" s="738"/>
      <c r="D20" s="738"/>
      <c r="E20" s="738"/>
      <c r="F20" s="738"/>
      <c r="G20" s="738"/>
      <c r="H20" s="738"/>
      <c r="I20" s="738"/>
      <c r="J20" s="739"/>
    </row>
    <row r="21" spans="2:12" ht="21.75" customHeight="1" x14ac:dyDescent="0.3">
      <c r="B21" s="16"/>
      <c r="C21" s="16"/>
      <c r="D21" s="16"/>
      <c r="E21" s="16"/>
      <c r="F21" s="16"/>
      <c r="G21" s="16"/>
      <c r="H21" s="16"/>
      <c r="I21" s="16"/>
      <c r="J21" s="16"/>
    </row>
    <row r="22" spans="2:12" ht="23.1" customHeight="1" thickBot="1" x14ac:dyDescent="0.35">
      <c r="B22" s="1" t="s">
        <v>1</v>
      </c>
      <c r="I22" s="2"/>
      <c r="J22" s="24" t="s">
        <v>9</v>
      </c>
    </row>
    <row r="23" spans="2:12" ht="24.95" customHeight="1" thickBot="1" x14ac:dyDescent="0.35">
      <c r="B23" s="740" t="s">
        <v>10</v>
      </c>
      <c r="C23" s="741"/>
      <c r="D23" s="741"/>
      <c r="E23" s="741"/>
      <c r="F23" s="741"/>
      <c r="G23" s="741"/>
      <c r="H23" s="741"/>
      <c r="I23" s="741"/>
      <c r="J23" s="742"/>
      <c r="K23" s="8"/>
    </row>
    <row r="24" spans="2:12" ht="20.100000000000001" customHeight="1" x14ac:dyDescent="0.3">
      <c r="B24" s="3" t="s">
        <v>0</v>
      </c>
      <c r="C24" s="31" t="s">
        <v>11</v>
      </c>
      <c r="D24" s="26" t="s">
        <v>5</v>
      </c>
      <c r="E24" s="27"/>
      <c r="F24" s="27"/>
      <c r="G24" s="27"/>
      <c r="H24" s="27"/>
      <c r="I24" s="28"/>
      <c r="J24" s="32" t="s">
        <v>4</v>
      </c>
      <c r="K24" s="8"/>
    </row>
    <row r="25" spans="2:12" ht="20.100000000000001" customHeight="1" x14ac:dyDescent="0.3">
      <c r="B25" s="743" t="s">
        <v>2</v>
      </c>
      <c r="C25" s="29"/>
      <c r="D25" s="752"/>
      <c r="E25" s="753"/>
      <c r="F25" s="753"/>
      <c r="G25" s="753"/>
      <c r="H25" s="753"/>
      <c r="I25" s="754"/>
      <c r="J25" s="33"/>
      <c r="K25" s="8"/>
    </row>
    <row r="26" spans="2:12" ht="20.100000000000001" customHeight="1" x14ac:dyDescent="0.3">
      <c r="B26" s="743"/>
      <c r="C26" s="22" t="s">
        <v>65</v>
      </c>
      <c r="D26" s="750"/>
      <c r="E26" s="726"/>
      <c r="F26" s="726"/>
      <c r="G26" s="726"/>
      <c r="H26" s="726"/>
      <c r="I26" s="727"/>
      <c r="J26" s="34"/>
      <c r="K26" s="8"/>
    </row>
    <row r="27" spans="2:12" ht="20.100000000000001" customHeight="1" x14ac:dyDescent="0.3">
      <c r="B27" s="743"/>
      <c r="C27" s="21" t="s">
        <v>243</v>
      </c>
      <c r="D27" s="725"/>
      <c r="E27" s="726"/>
      <c r="F27" s="726"/>
      <c r="G27" s="726"/>
      <c r="H27" s="726"/>
      <c r="I27" s="727"/>
      <c r="J27" s="35"/>
      <c r="K27" s="8"/>
    </row>
    <row r="28" spans="2:12" ht="20.100000000000001" customHeight="1" x14ac:dyDescent="0.3">
      <c r="B28" s="743"/>
      <c r="C28" s="67"/>
      <c r="D28" s="751"/>
      <c r="E28" s="748"/>
      <c r="F28" s="748"/>
      <c r="G28" s="748"/>
      <c r="H28" s="748"/>
      <c r="I28" s="749"/>
      <c r="J28" s="36"/>
      <c r="K28" s="8"/>
    </row>
    <row r="29" spans="2:12" ht="20.100000000000001" customHeight="1" x14ac:dyDescent="0.3">
      <c r="B29" s="743"/>
      <c r="C29" s="29"/>
      <c r="D29" s="752"/>
      <c r="E29" s="753"/>
      <c r="F29" s="753"/>
      <c r="G29" s="753"/>
      <c r="H29" s="753"/>
      <c r="I29" s="754"/>
      <c r="J29" s="33"/>
      <c r="K29" s="8"/>
    </row>
    <row r="30" spans="2:12" ht="20.100000000000001" customHeight="1" x14ac:dyDescent="0.3">
      <c r="B30" s="743"/>
      <c r="C30" s="22" t="s">
        <v>47</v>
      </c>
      <c r="D30" s="750"/>
      <c r="E30" s="726"/>
      <c r="F30" s="726"/>
      <c r="G30" s="726"/>
      <c r="H30" s="726"/>
      <c r="I30" s="727"/>
      <c r="J30" s="34"/>
      <c r="K30" s="8"/>
    </row>
    <row r="31" spans="2:12" ht="20.100000000000001" customHeight="1" x14ac:dyDescent="0.3">
      <c r="B31" s="743"/>
      <c r="C31" s="21" t="s">
        <v>375</v>
      </c>
      <c r="D31" s="725"/>
      <c r="E31" s="726"/>
      <c r="F31" s="726"/>
      <c r="G31" s="726"/>
      <c r="H31" s="726"/>
      <c r="I31" s="727"/>
      <c r="J31" s="35"/>
      <c r="K31" s="8"/>
    </row>
    <row r="32" spans="2:12" ht="20.100000000000001" customHeight="1" x14ac:dyDescent="0.3">
      <c r="B32" s="743"/>
      <c r="C32" s="21"/>
      <c r="D32" s="751"/>
      <c r="E32" s="748"/>
      <c r="F32" s="748"/>
      <c r="G32" s="748"/>
      <c r="H32" s="748"/>
      <c r="I32" s="749"/>
      <c r="J32" s="35"/>
      <c r="K32" s="8"/>
      <c r="L32" s="9"/>
    </row>
    <row r="33" spans="2:13" ht="20.100000000000001" customHeight="1" x14ac:dyDescent="0.3">
      <c r="B33" s="743"/>
      <c r="C33" s="29"/>
      <c r="D33" s="752"/>
      <c r="E33" s="753"/>
      <c r="F33" s="753"/>
      <c r="G33" s="753"/>
      <c r="H33" s="753"/>
      <c r="I33" s="754"/>
      <c r="J33" s="33"/>
      <c r="K33" s="8"/>
      <c r="L33" s="9"/>
      <c r="M33" s="9"/>
    </row>
    <row r="34" spans="2:13" ht="20.100000000000001" customHeight="1" x14ac:dyDescent="0.3">
      <c r="B34" s="743"/>
      <c r="C34" s="22" t="s">
        <v>48</v>
      </c>
      <c r="D34" s="750"/>
      <c r="E34" s="726"/>
      <c r="F34" s="726"/>
      <c r="G34" s="726"/>
      <c r="H34" s="726"/>
      <c r="I34" s="727"/>
      <c r="J34" s="34"/>
      <c r="K34" s="8"/>
      <c r="L34" s="9"/>
      <c r="M34" s="9"/>
    </row>
    <row r="35" spans="2:13" ht="20.100000000000001" customHeight="1" x14ac:dyDescent="0.3">
      <c r="B35" s="743"/>
      <c r="C35" s="21" t="s">
        <v>66</v>
      </c>
      <c r="D35" s="725"/>
      <c r="E35" s="726"/>
      <c r="F35" s="726"/>
      <c r="G35" s="726"/>
      <c r="H35" s="726"/>
      <c r="I35" s="727"/>
      <c r="J35" s="35"/>
      <c r="K35" s="8"/>
      <c r="L35" s="9"/>
      <c r="M35" s="9"/>
    </row>
    <row r="36" spans="2:13" ht="20.100000000000001" customHeight="1" x14ac:dyDescent="0.3">
      <c r="B36" s="743"/>
      <c r="C36" s="67"/>
      <c r="D36" s="751"/>
      <c r="E36" s="748"/>
      <c r="F36" s="748"/>
      <c r="G36" s="748"/>
      <c r="H36" s="748"/>
      <c r="I36" s="749"/>
      <c r="J36" s="35"/>
      <c r="K36" s="8"/>
    </row>
    <row r="37" spans="2:13" ht="20.100000000000001" customHeight="1" x14ac:dyDescent="0.3">
      <c r="B37" s="743"/>
      <c r="C37" s="29"/>
      <c r="D37" s="752"/>
      <c r="E37" s="753"/>
      <c r="F37" s="753"/>
      <c r="G37" s="753"/>
      <c r="H37" s="753"/>
      <c r="I37" s="754"/>
      <c r="J37" s="33"/>
      <c r="K37" s="8"/>
    </row>
    <row r="38" spans="2:13" ht="20.100000000000001" customHeight="1" x14ac:dyDescent="0.3">
      <c r="B38" s="743"/>
      <c r="C38" s="22" t="s">
        <v>1083</v>
      </c>
      <c r="D38" s="750"/>
      <c r="E38" s="726"/>
      <c r="F38" s="726"/>
      <c r="G38" s="726"/>
      <c r="H38" s="726"/>
      <c r="I38" s="727"/>
      <c r="J38" s="34"/>
      <c r="K38" s="8"/>
    </row>
    <row r="39" spans="2:13" ht="20.100000000000001" customHeight="1" x14ac:dyDescent="0.3">
      <c r="B39" s="743"/>
      <c r="C39" s="21" t="s">
        <v>951</v>
      </c>
      <c r="D39" s="725"/>
      <c r="E39" s="726"/>
      <c r="F39" s="726"/>
      <c r="G39" s="726"/>
      <c r="H39" s="726"/>
      <c r="I39" s="727"/>
      <c r="J39" s="35"/>
      <c r="K39" s="8"/>
    </row>
    <row r="40" spans="2:13" ht="20.100000000000001" customHeight="1" x14ac:dyDescent="0.3">
      <c r="B40" s="743"/>
      <c r="C40" s="67"/>
      <c r="D40" s="751"/>
      <c r="E40" s="748"/>
      <c r="F40" s="748"/>
      <c r="G40" s="748"/>
      <c r="H40" s="748"/>
      <c r="I40" s="749"/>
      <c r="J40" s="35"/>
      <c r="K40" s="8"/>
    </row>
    <row r="41" spans="2:13" ht="20.100000000000001" customHeight="1" x14ac:dyDescent="0.3">
      <c r="B41" s="743"/>
      <c r="C41" s="29"/>
      <c r="D41" s="752"/>
      <c r="E41" s="753"/>
      <c r="F41" s="753"/>
      <c r="G41" s="753"/>
      <c r="H41" s="753"/>
      <c r="I41" s="754"/>
      <c r="J41" s="33"/>
      <c r="K41" s="8"/>
    </row>
    <row r="42" spans="2:13" ht="20.100000000000001" customHeight="1" x14ac:dyDescent="0.3">
      <c r="B42" s="743"/>
      <c r="C42" s="69" t="s">
        <v>49</v>
      </c>
      <c r="D42" s="750"/>
      <c r="E42" s="726"/>
      <c r="F42" s="726"/>
      <c r="G42" s="726"/>
      <c r="H42" s="726"/>
      <c r="I42" s="727"/>
      <c r="J42" s="34"/>
      <c r="K42" s="8"/>
    </row>
    <row r="43" spans="2:13" ht="20.100000000000001" customHeight="1" x14ac:dyDescent="0.3">
      <c r="B43" s="743"/>
      <c r="C43" s="21"/>
      <c r="D43" s="725"/>
      <c r="E43" s="726"/>
      <c r="F43" s="726"/>
      <c r="G43" s="726"/>
      <c r="H43" s="726"/>
      <c r="I43" s="727"/>
      <c r="J43" s="35"/>
      <c r="K43" s="8"/>
    </row>
    <row r="44" spans="2:13" ht="20.100000000000001" customHeight="1" x14ac:dyDescent="0.3">
      <c r="B44" s="744"/>
      <c r="C44" s="67"/>
      <c r="D44" s="751"/>
      <c r="E44" s="748"/>
      <c r="F44" s="748"/>
      <c r="G44" s="748"/>
      <c r="H44" s="748"/>
      <c r="I44" s="749"/>
      <c r="J44" s="35"/>
      <c r="K44" s="8"/>
    </row>
    <row r="45" spans="2:13" ht="20.100000000000001" customHeight="1" x14ac:dyDescent="0.3">
      <c r="B45" s="745" t="s">
        <v>50</v>
      </c>
      <c r="C45" s="68" t="s">
        <v>3</v>
      </c>
      <c r="D45" s="752" t="s">
        <v>1480</v>
      </c>
      <c r="E45" s="753"/>
      <c r="F45" s="753"/>
      <c r="G45" s="753"/>
      <c r="H45" s="753"/>
      <c r="I45" s="754"/>
      <c r="J45" s="33" t="s">
        <v>1429</v>
      </c>
      <c r="K45" s="8"/>
    </row>
    <row r="46" spans="2:13" ht="20.100000000000001" customHeight="1" x14ac:dyDescent="0.3">
      <c r="B46" s="743"/>
      <c r="C46" s="20">
        <v>4</v>
      </c>
      <c r="D46" s="750" t="s">
        <v>1427</v>
      </c>
      <c r="E46" s="726"/>
      <c r="F46" s="726"/>
      <c r="G46" s="726"/>
      <c r="H46" s="726"/>
      <c r="I46" s="727"/>
      <c r="J46" s="34" t="s">
        <v>1441</v>
      </c>
      <c r="K46" s="8"/>
    </row>
    <row r="47" spans="2:13" ht="20.100000000000001" customHeight="1" x14ac:dyDescent="0.3">
      <c r="B47" s="743"/>
      <c r="C47" s="21" t="str">
        <f>IF(C46=1,"[조용환+]",IF(C46=2,"[한만석+]",IF(C46=3,"[남정현+]",IF(C46=4,"[김광표+]","???"))))</f>
        <v>[김광표+]</v>
      </c>
      <c r="D47" s="725" t="s">
        <v>1434</v>
      </c>
      <c r="E47" s="726"/>
      <c r="F47" s="726"/>
      <c r="G47" s="726"/>
      <c r="H47" s="726"/>
      <c r="I47" s="727"/>
      <c r="J47" s="35" t="s">
        <v>1436</v>
      </c>
      <c r="K47" s="8"/>
    </row>
    <row r="48" spans="2:13" ht="20.100000000000001" customHeight="1" x14ac:dyDescent="0.3">
      <c r="B48" s="743"/>
      <c r="C48" s="13"/>
      <c r="D48" s="725" t="s">
        <v>1435</v>
      </c>
      <c r="E48" s="726"/>
      <c r="F48" s="726"/>
      <c r="G48" s="726"/>
      <c r="H48" s="726"/>
      <c r="I48" s="727"/>
      <c r="J48" s="35" t="s">
        <v>1437</v>
      </c>
      <c r="K48" s="8"/>
    </row>
    <row r="49" spans="1:17" ht="20.100000000000001" customHeight="1" x14ac:dyDescent="0.3">
      <c r="A49" s="13"/>
      <c r="B49" s="743"/>
      <c r="C49" s="13"/>
      <c r="D49" s="725" t="s">
        <v>1428</v>
      </c>
      <c r="E49" s="726"/>
      <c r="F49" s="726"/>
      <c r="G49" s="726"/>
      <c r="H49" s="726"/>
      <c r="I49" s="727"/>
      <c r="J49" s="35" t="s">
        <v>1430</v>
      </c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 t="s">
        <v>1431</v>
      </c>
      <c r="E50" s="786"/>
      <c r="F50" s="786"/>
      <c r="G50" s="786"/>
      <c r="H50" s="786"/>
      <c r="I50" s="78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x14ac:dyDescent="0.3">
      <c r="A51" s="13"/>
      <c r="B51" s="743"/>
      <c r="C51" s="13"/>
      <c r="D51" s="725" t="s">
        <v>1432</v>
      </c>
      <c r="E51" s="786"/>
      <c r="F51" s="786"/>
      <c r="G51" s="786"/>
      <c r="H51" s="786"/>
      <c r="I51" s="787"/>
      <c r="J51" s="35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3"/>
      <c r="D52" s="725" t="s">
        <v>1473</v>
      </c>
      <c r="E52" s="786"/>
      <c r="F52" s="786"/>
      <c r="G52" s="786"/>
      <c r="H52" s="786"/>
      <c r="I52" s="787"/>
      <c r="J52" s="35"/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13"/>
      <c r="D53" s="725" t="s">
        <v>1433</v>
      </c>
      <c r="E53" s="786"/>
      <c r="F53" s="786"/>
      <c r="G53" s="786"/>
      <c r="H53" s="786"/>
      <c r="I53" s="787"/>
      <c r="J53" s="35"/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13"/>
      <c r="D54" s="725" t="s">
        <v>1438</v>
      </c>
      <c r="E54" s="786"/>
      <c r="F54" s="786"/>
      <c r="G54" s="786"/>
      <c r="H54" s="786"/>
      <c r="I54" s="787"/>
      <c r="J54" s="35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743"/>
      <c r="C55" s="13"/>
      <c r="D55" s="725" t="s">
        <v>1445</v>
      </c>
      <c r="E55" s="786"/>
      <c r="F55" s="786"/>
      <c r="G55" s="786"/>
      <c r="H55" s="786"/>
      <c r="I55" s="787"/>
      <c r="J55" s="35" t="s">
        <v>1439</v>
      </c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13"/>
      <c r="D56" s="725" t="s">
        <v>1440</v>
      </c>
      <c r="E56" s="786"/>
      <c r="F56" s="786"/>
      <c r="G56" s="786"/>
      <c r="H56" s="786"/>
      <c r="I56" s="787"/>
      <c r="J56" s="35"/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13"/>
      <c r="D57" s="725"/>
      <c r="E57" s="786"/>
      <c r="F57" s="786"/>
      <c r="G57" s="786"/>
      <c r="H57" s="786"/>
      <c r="I57" s="787"/>
      <c r="J57" s="35"/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19"/>
      <c r="D58" s="747"/>
      <c r="E58" s="748"/>
      <c r="F58" s="748"/>
      <c r="G58" s="748"/>
      <c r="H58" s="748"/>
      <c r="I58" s="749"/>
      <c r="J58" s="36"/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22" t="s">
        <v>8</v>
      </c>
      <c r="D59" s="752" t="s">
        <v>1481</v>
      </c>
      <c r="E59" s="753"/>
      <c r="F59" s="753"/>
      <c r="G59" s="753"/>
      <c r="H59" s="753"/>
      <c r="I59" s="754"/>
      <c r="J59" s="33" t="s">
        <v>1430</v>
      </c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20">
        <v>3</v>
      </c>
      <c r="D60" s="750" t="s">
        <v>1442</v>
      </c>
      <c r="E60" s="726"/>
      <c r="F60" s="726"/>
      <c r="G60" s="726"/>
      <c r="H60" s="726"/>
      <c r="I60" s="727"/>
      <c r="J60" s="34"/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21" t="str">
        <f>IF(C60=1,"[조용환+]",IF(C60=2,"[한만석+]",IF(C60=3,"[남정현+]",IF(C60=4,"[김광표+]","???"))))</f>
        <v>[남정현+]</v>
      </c>
      <c r="D61" s="725" t="s">
        <v>1443</v>
      </c>
      <c r="E61" s="726"/>
      <c r="F61" s="726"/>
      <c r="G61" s="726"/>
      <c r="H61" s="726"/>
      <c r="I61" s="727"/>
      <c r="J61" s="35"/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743"/>
      <c r="C62" s="13"/>
      <c r="D62" s="725" t="s">
        <v>1444</v>
      </c>
      <c r="E62" s="726"/>
      <c r="F62" s="726"/>
      <c r="G62" s="726"/>
      <c r="H62" s="726"/>
      <c r="I62" s="727"/>
      <c r="J62" s="35"/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743"/>
      <c r="C63" s="13"/>
      <c r="D63" s="725" t="s">
        <v>1446</v>
      </c>
      <c r="E63" s="726"/>
      <c r="F63" s="726"/>
      <c r="G63" s="726"/>
      <c r="H63" s="726"/>
      <c r="I63" s="727"/>
      <c r="J63" s="35"/>
      <c r="K63" s="8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13"/>
      <c r="B64" s="743"/>
      <c r="C64" s="13"/>
      <c r="D64" s="725" t="s">
        <v>1447</v>
      </c>
      <c r="E64" s="726"/>
      <c r="F64" s="726"/>
      <c r="G64" s="726"/>
      <c r="H64" s="726"/>
      <c r="I64" s="727"/>
      <c r="J64" s="35"/>
      <c r="K64" s="8"/>
      <c r="L64" s="10"/>
      <c r="M64" s="10"/>
      <c r="N64" s="10"/>
      <c r="O64" s="10"/>
      <c r="P64" s="10"/>
      <c r="Q64" s="10"/>
    </row>
    <row r="65" spans="1:17" ht="20.100000000000001" customHeight="1" thickBot="1" x14ac:dyDescent="0.35">
      <c r="A65" s="13"/>
      <c r="B65" s="746"/>
      <c r="C65" s="25"/>
      <c r="D65" s="761"/>
      <c r="E65" s="762"/>
      <c r="F65" s="762"/>
      <c r="G65" s="762"/>
      <c r="H65" s="762"/>
      <c r="I65" s="763"/>
      <c r="J65" s="37"/>
      <c r="K65" s="8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13"/>
      <c r="B66" s="23" t="s">
        <v>12</v>
      </c>
      <c r="C66" s="17"/>
      <c r="D66" s="17"/>
      <c r="E66" s="17"/>
      <c r="F66" s="17"/>
      <c r="G66" s="17"/>
      <c r="H66" s="17"/>
      <c r="I66" s="17"/>
      <c r="J66" s="17"/>
      <c r="K66" s="8"/>
      <c r="L66" s="10"/>
      <c r="M66" s="10"/>
      <c r="N66" s="10"/>
      <c r="O66" s="10"/>
      <c r="P66" s="10"/>
      <c r="Q66" s="10"/>
    </row>
    <row r="67" spans="1:17" ht="6" customHeight="1" x14ac:dyDescent="0.3">
      <c r="A67" s="13"/>
      <c r="B67" s="17"/>
      <c r="C67" s="17"/>
      <c r="D67" s="17"/>
      <c r="E67" s="17"/>
      <c r="F67" s="17"/>
      <c r="G67" s="17"/>
      <c r="H67" s="17"/>
      <c r="I67" s="17"/>
      <c r="J67" s="17"/>
      <c r="K67" s="8"/>
      <c r="L67" s="10"/>
      <c r="M67" s="10"/>
      <c r="N67" s="10"/>
      <c r="O67" s="10"/>
      <c r="P67" s="10"/>
      <c r="Q67" s="10"/>
    </row>
    <row r="68" spans="1:17" ht="18.75" customHeight="1" thickBot="1" x14ac:dyDescent="0.35">
      <c r="B68" s="1" t="s">
        <v>7</v>
      </c>
      <c r="C68" s="17"/>
      <c r="D68" s="17"/>
      <c r="E68" s="17"/>
      <c r="F68" s="17"/>
      <c r="G68" s="17"/>
      <c r="H68" s="17"/>
      <c r="I68" s="17"/>
      <c r="J68" s="18"/>
      <c r="K68" s="8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38"/>
      <c r="B69" s="764" t="s">
        <v>1183</v>
      </c>
      <c r="C69" s="765"/>
      <c r="D69" s="765"/>
      <c r="E69" s="765"/>
      <c r="F69" s="765"/>
      <c r="G69" s="765"/>
      <c r="H69" s="765"/>
      <c r="I69" s="765"/>
      <c r="J69" s="766"/>
      <c r="K69" s="39"/>
      <c r="L69" s="10"/>
      <c r="M69" s="10"/>
      <c r="N69" s="10"/>
      <c r="O69" s="10"/>
      <c r="P69" s="10"/>
      <c r="Q69" s="10"/>
    </row>
    <row r="70" spans="1:17" ht="20.100000000000001" customHeight="1" x14ac:dyDescent="0.3">
      <c r="A70" s="38"/>
      <c r="B70" s="767" t="s">
        <v>1052</v>
      </c>
      <c r="C70" s="768"/>
      <c r="D70" s="768"/>
      <c r="E70" s="768"/>
      <c r="F70" s="768"/>
      <c r="G70" s="768"/>
      <c r="H70" s="768"/>
      <c r="I70" s="768"/>
      <c r="J70" s="769"/>
      <c r="K70" s="39"/>
      <c r="L70" s="10"/>
      <c r="M70" s="10"/>
      <c r="N70" s="10"/>
      <c r="O70" s="10"/>
      <c r="P70" s="10"/>
      <c r="Q70" s="10"/>
    </row>
    <row r="71" spans="1:17" ht="20.100000000000001" customHeight="1" x14ac:dyDescent="0.3">
      <c r="A71" s="38"/>
      <c r="B71" s="755" t="s">
        <v>1172</v>
      </c>
      <c r="C71" s="756"/>
      <c r="D71" s="756"/>
      <c r="E71" s="756"/>
      <c r="F71" s="756"/>
      <c r="G71" s="756"/>
      <c r="H71" s="756"/>
      <c r="I71" s="756"/>
      <c r="J71" s="757"/>
      <c r="K71" s="39"/>
      <c r="L71" s="10"/>
      <c r="M71" s="10"/>
      <c r="N71" s="10"/>
      <c r="O71" s="10"/>
      <c r="P71" s="10"/>
      <c r="Q71" s="10"/>
    </row>
    <row r="72" spans="1:17" ht="20.100000000000001" customHeight="1" x14ac:dyDescent="0.3">
      <c r="A72" s="38"/>
      <c r="B72" s="755"/>
      <c r="C72" s="756"/>
      <c r="D72" s="756"/>
      <c r="E72" s="756"/>
      <c r="F72" s="756"/>
      <c r="G72" s="756"/>
      <c r="H72" s="756"/>
      <c r="I72" s="756"/>
      <c r="J72" s="757"/>
      <c r="K72" s="39"/>
      <c r="L72" s="10"/>
      <c r="M72" s="10"/>
      <c r="N72" s="10"/>
      <c r="O72" s="10"/>
      <c r="P72" s="10"/>
      <c r="Q72" s="10"/>
    </row>
    <row r="73" spans="1:17" ht="20.100000000000001" customHeight="1" x14ac:dyDescent="0.3">
      <c r="A73" s="38"/>
      <c r="B73" s="755"/>
      <c r="C73" s="756"/>
      <c r="D73" s="756"/>
      <c r="E73" s="756"/>
      <c r="F73" s="756"/>
      <c r="G73" s="756"/>
      <c r="H73" s="756"/>
      <c r="I73" s="756"/>
      <c r="J73" s="757"/>
      <c r="K73" s="38"/>
    </row>
    <row r="74" spans="1:17" ht="20.100000000000001" customHeight="1" thickBot="1" x14ac:dyDescent="0.35">
      <c r="A74" s="38"/>
      <c r="B74" s="758"/>
      <c r="C74" s="759"/>
      <c r="D74" s="759"/>
      <c r="E74" s="759"/>
      <c r="F74" s="759"/>
      <c r="G74" s="759"/>
      <c r="H74" s="759"/>
      <c r="I74" s="759"/>
      <c r="J74" s="760"/>
      <c r="K74" s="38"/>
    </row>
    <row r="75" spans="1:17" ht="5.25" customHeight="1" x14ac:dyDescent="0.3">
      <c r="B75" s="11"/>
      <c r="C75" s="11"/>
      <c r="D75" s="11"/>
      <c r="E75" s="11"/>
      <c r="F75" s="11"/>
      <c r="G75" s="11"/>
      <c r="H75" s="11"/>
      <c r="I75" s="11"/>
      <c r="J75" s="11"/>
    </row>
    <row r="76" spans="1:17" ht="24.95" customHeight="1" x14ac:dyDescent="0.3">
      <c r="B76" s="12"/>
      <c r="C76" s="12"/>
      <c r="D76" s="12"/>
      <c r="E76" s="12"/>
      <c r="F76" s="12"/>
      <c r="G76" s="12"/>
      <c r="H76" s="12"/>
      <c r="I76" s="12"/>
      <c r="J76" s="12"/>
    </row>
    <row r="77" spans="1:17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1:17" ht="24.95" customHeight="1" x14ac:dyDescent="0.3">
      <c r="B78" s="13"/>
      <c r="C78" s="770"/>
      <c r="D78" s="770"/>
      <c r="E78" s="770"/>
      <c r="F78" s="770"/>
      <c r="G78" s="770"/>
      <c r="H78" s="770"/>
      <c r="I78" s="13"/>
      <c r="J78" s="13"/>
    </row>
    <row r="79" spans="1:17" ht="24.95" customHeight="1" x14ac:dyDescent="0.3">
      <c r="B79" s="13"/>
      <c r="C79" s="14"/>
      <c r="D79" s="14"/>
      <c r="E79" s="14"/>
      <c r="F79" s="14"/>
      <c r="G79" s="14"/>
      <c r="H79" s="14"/>
      <c r="I79" s="13"/>
      <c r="J79" s="13"/>
    </row>
    <row r="80" spans="1:17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ht="24.95" customHeight="1" x14ac:dyDescent="0.3">
      <c r="B81" s="13"/>
      <c r="C81" s="770"/>
      <c r="D81" s="770"/>
      <c r="E81" s="770"/>
      <c r="F81" s="770"/>
      <c r="G81" s="770"/>
      <c r="H81" s="770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ht="24.95" customHeight="1" x14ac:dyDescent="0.3">
      <c r="B83" s="13"/>
      <c r="C83" s="13"/>
      <c r="D83" s="13"/>
      <c r="E83" s="14"/>
      <c r="F83" s="14"/>
      <c r="G83" s="14"/>
      <c r="H83" s="14"/>
      <c r="I83" s="14"/>
      <c r="J83" s="14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ht="24.95" customHeight="1" x14ac:dyDescent="0.3">
      <c r="B85" s="13"/>
      <c r="C85" s="13"/>
      <c r="D85" s="14"/>
      <c r="E85" s="14"/>
      <c r="F85" s="14"/>
      <c r="G85" s="14"/>
      <c r="H85" s="14"/>
      <c r="I85" s="14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ht="24.95" customHeight="1" x14ac:dyDescent="0.3">
      <c r="B87" s="13"/>
      <c r="C87" s="13"/>
      <c r="D87" s="14"/>
      <c r="E87" s="14"/>
      <c r="F87" s="14"/>
      <c r="G87" s="14"/>
      <c r="H87" s="14"/>
      <c r="I87" s="14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2:10" x14ac:dyDescent="0.3">
      <c r="B105" s="13"/>
      <c r="C105" s="13"/>
      <c r="D105" s="13"/>
      <c r="E105" s="13"/>
      <c r="F105" s="13"/>
      <c r="G105" s="13"/>
      <c r="H105" s="13"/>
      <c r="I105" s="13"/>
      <c r="J105" s="13"/>
    </row>
  </sheetData>
  <mergeCells count="69">
    <mergeCell ref="B18:J18"/>
    <mergeCell ref="B19:J19"/>
    <mergeCell ref="D25:I25"/>
    <mergeCell ref="D26:I26"/>
    <mergeCell ref="B20:J20"/>
    <mergeCell ref="B23:J23"/>
    <mergeCell ref="B25:B44"/>
    <mergeCell ref="D27:I27"/>
    <mergeCell ref="D28:I28"/>
    <mergeCell ref="D29:I29"/>
    <mergeCell ref="D30:I30"/>
    <mergeCell ref="D31:I31"/>
    <mergeCell ref="D34:I34"/>
    <mergeCell ref="D40:I40"/>
    <mergeCell ref="D32:I32"/>
    <mergeCell ref="D38:I38"/>
    <mergeCell ref="B2:J2"/>
    <mergeCell ref="B3:H3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45:B65"/>
    <mergeCell ref="D45:I45"/>
    <mergeCell ref="D33:I33"/>
    <mergeCell ref="D46:I46"/>
    <mergeCell ref="D39:I39"/>
    <mergeCell ref="D41:I41"/>
    <mergeCell ref="D42:I42"/>
    <mergeCell ref="D43:I43"/>
    <mergeCell ref="D44:I44"/>
    <mergeCell ref="D35:I35"/>
    <mergeCell ref="D36:I36"/>
    <mergeCell ref="D37:I37"/>
    <mergeCell ref="D47:I47"/>
    <mergeCell ref="D48:I48"/>
    <mergeCell ref="D58:I58"/>
    <mergeCell ref="D59:I59"/>
    <mergeCell ref="D60:I60"/>
    <mergeCell ref="D49:I49"/>
    <mergeCell ref="D50:I50"/>
    <mergeCell ref="D51:I51"/>
    <mergeCell ref="D57:I57"/>
    <mergeCell ref="D52:I52"/>
    <mergeCell ref="D53:I53"/>
    <mergeCell ref="D54:I54"/>
    <mergeCell ref="D55:I55"/>
    <mergeCell ref="D56:I56"/>
    <mergeCell ref="C81:H81"/>
    <mergeCell ref="B69:J69"/>
    <mergeCell ref="B70:J70"/>
    <mergeCell ref="B71:J71"/>
    <mergeCell ref="B72:J72"/>
    <mergeCell ref="B73:J73"/>
    <mergeCell ref="B74:J74"/>
    <mergeCell ref="C78:H78"/>
    <mergeCell ref="D65:I65"/>
    <mergeCell ref="D61:I61"/>
    <mergeCell ref="D62:I62"/>
    <mergeCell ref="D63:I63"/>
    <mergeCell ref="D64:I64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49" fitToHeight="99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9"/>
  <dimension ref="A1:Q101"/>
  <sheetViews>
    <sheetView showGridLines="0" view="pageBreakPreview" topLeftCell="A40" zoomScale="85" zoomScaleNormal="100" zoomScaleSheetLayoutView="85" workbookViewId="0">
      <selection activeCell="B67" sqref="B67:J67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'15'!B3+1</f>
        <v>46281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1450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 t="s">
        <v>1451</v>
      </c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1" t="s">
        <v>1452</v>
      </c>
      <c r="C8" s="732"/>
      <c r="D8" s="732"/>
      <c r="E8" s="732"/>
      <c r="F8" s="732"/>
      <c r="G8" s="732"/>
      <c r="H8" s="732"/>
      <c r="I8" s="732"/>
      <c r="J8" s="733"/>
    </row>
    <row r="9" spans="2:10" ht="33.75" customHeight="1" x14ac:dyDescent="0.3">
      <c r="B9" s="777" t="s">
        <v>1453</v>
      </c>
      <c r="C9" s="778"/>
      <c r="D9" s="778"/>
      <c r="E9" s="778"/>
      <c r="F9" s="778"/>
      <c r="G9" s="778"/>
      <c r="H9" s="778"/>
      <c r="I9" s="778"/>
      <c r="J9" s="779"/>
    </row>
    <row r="10" spans="2:10" ht="20.100000000000001" customHeight="1" x14ac:dyDescent="0.3">
      <c r="B10" s="731"/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 t="s">
        <v>1454</v>
      </c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4" t="s">
        <v>1455</v>
      </c>
      <c r="C12" s="735"/>
      <c r="D12" s="735"/>
      <c r="E12" s="735"/>
      <c r="F12" s="735"/>
      <c r="G12" s="735"/>
      <c r="H12" s="735"/>
      <c r="I12" s="735"/>
      <c r="J12" s="736"/>
    </row>
    <row r="13" spans="2:10" ht="20.100000000000001" customHeight="1" x14ac:dyDescent="0.3">
      <c r="B13" s="734" t="s">
        <v>1456</v>
      </c>
      <c r="C13" s="735"/>
      <c r="D13" s="735"/>
      <c r="E13" s="735"/>
      <c r="F13" s="735"/>
      <c r="G13" s="735"/>
      <c r="H13" s="735"/>
      <c r="I13" s="735"/>
      <c r="J13" s="736"/>
    </row>
    <row r="14" spans="2:10" ht="20.100000000000001" customHeight="1" x14ac:dyDescent="0.3">
      <c r="B14" s="776" t="s">
        <v>1457</v>
      </c>
      <c r="C14" s="735"/>
      <c r="D14" s="735"/>
      <c r="E14" s="735"/>
      <c r="F14" s="735"/>
      <c r="G14" s="735"/>
      <c r="H14" s="735"/>
      <c r="I14" s="735"/>
      <c r="J14" s="736"/>
    </row>
    <row r="15" spans="2:10" ht="20.100000000000001" customHeight="1" x14ac:dyDescent="0.3">
      <c r="B15" s="731"/>
      <c r="C15" s="732"/>
      <c r="D15" s="732"/>
      <c r="E15" s="732"/>
      <c r="F15" s="732"/>
      <c r="G15" s="732"/>
      <c r="H15" s="732"/>
      <c r="I15" s="732"/>
      <c r="J15" s="733"/>
    </row>
    <row r="16" spans="2:10" ht="7.5" customHeight="1" thickBot="1" x14ac:dyDescent="0.35">
      <c r="B16" s="737"/>
      <c r="C16" s="738"/>
      <c r="D16" s="738"/>
      <c r="E16" s="738"/>
      <c r="F16" s="738"/>
      <c r="G16" s="738"/>
      <c r="H16" s="738"/>
      <c r="I16" s="738"/>
      <c r="J16" s="739"/>
    </row>
    <row r="17" spans="2:13" ht="21.75" customHeight="1" x14ac:dyDescent="0.3">
      <c r="B17" s="16"/>
      <c r="C17" s="16"/>
      <c r="D17" s="16"/>
      <c r="E17" s="16"/>
      <c r="F17" s="16"/>
      <c r="G17" s="16"/>
      <c r="H17" s="16"/>
      <c r="I17" s="16"/>
      <c r="J17" s="16"/>
    </row>
    <row r="18" spans="2:13" ht="23.1" customHeight="1" thickBot="1" x14ac:dyDescent="0.35">
      <c r="B18" s="1" t="s">
        <v>1</v>
      </c>
      <c r="I18" s="2"/>
      <c r="J18" s="24" t="s">
        <v>9</v>
      </c>
    </row>
    <row r="19" spans="2:13" ht="24.95" customHeight="1" thickBot="1" x14ac:dyDescent="0.35">
      <c r="B19" s="740" t="s">
        <v>10</v>
      </c>
      <c r="C19" s="741"/>
      <c r="D19" s="741"/>
      <c r="E19" s="741"/>
      <c r="F19" s="741"/>
      <c r="G19" s="741"/>
      <c r="H19" s="741"/>
      <c r="I19" s="741"/>
      <c r="J19" s="742"/>
      <c r="K19" s="8"/>
    </row>
    <row r="20" spans="2:13" ht="20.100000000000001" customHeight="1" x14ac:dyDescent="0.3">
      <c r="B20" s="3" t="s">
        <v>0</v>
      </c>
      <c r="C20" s="31" t="s">
        <v>11</v>
      </c>
      <c r="D20" s="26" t="s">
        <v>5</v>
      </c>
      <c r="E20" s="27"/>
      <c r="F20" s="27"/>
      <c r="G20" s="27"/>
      <c r="H20" s="27"/>
      <c r="I20" s="28"/>
      <c r="J20" s="32" t="s">
        <v>4</v>
      </c>
      <c r="K20" s="8"/>
    </row>
    <row r="21" spans="2:13" ht="20.100000000000001" customHeight="1" x14ac:dyDescent="0.3">
      <c r="B21" s="743" t="s">
        <v>2</v>
      </c>
      <c r="C21" s="29"/>
      <c r="D21" s="752"/>
      <c r="E21" s="753"/>
      <c r="F21" s="753"/>
      <c r="G21" s="753"/>
      <c r="H21" s="753"/>
      <c r="I21" s="754"/>
      <c r="J21" s="33"/>
      <c r="K21" s="8"/>
    </row>
    <row r="22" spans="2:13" ht="20.100000000000001" customHeight="1" x14ac:dyDescent="0.3">
      <c r="B22" s="743"/>
      <c r="C22" s="22" t="s">
        <v>65</v>
      </c>
      <c r="D22" s="750"/>
      <c r="E22" s="726"/>
      <c r="F22" s="726"/>
      <c r="G22" s="726"/>
      <c r="H22" s="726"/>
      <c r="I22" s="727"/>
      <c r="J22" s="34"/>
      <c r="K22" s="8"/>
    </row>
    <row r="23" spans="2:13" ht="20.100000000000001" customHeight="1" x14ac:dyDescent="0.3">
      <c r="B23" s="743"/>
      <c r="C23" s="21" t="s">
        <v>243</v>
      </c>
      <c r="D23" s="725"/>
      <c r="E23" s="726"/>
      <c r="F23" s="726"/>
      <c r="G23" s="726"/>
      <c r="H23" s="726"/>
      <c r="I23" s="727"/>
      <c r="J23" s="35"/>
      <c r="K23" s="8"/>
    </row>
    <row r="24" spans="2:13" ht="20.100000000000001" customHeight="1" x14ac:dyDescent="0.3">
      <c r="B24" s="743"/>
      <c r="C24" s="67"/>
      <c r="D24" s="751"/>
      <c r="E24" s="748"/>
      <c r="F24" s="748"/>
      <c r="G24" s="748"/>
      <c r="H24" s="748"/>
      <c r="I24" s="749"/>
      <c r="J24" s="36"/>
      <c r="K24" s="8"/>
    </row>
    <row r="25" spans="2:13" ht="20.100000000000001" customHeight="1" x14ac:dyDescent="0.3">
      <c r="B25" s="743"/>
      <c r="C25" s="29"/>
      <c r="D25" s="752"/>
      <c r="E25" s="753"/>
      <c r="F25" s="753"/>
      <c r="G25" s="753"/>
      <c r="H25" s="753"/>
      <c r="I25" s="754"/>
      <c r="J25" s="33"/>
      <c r="K25" s="8"/>
    </row>
    <row r="26" spans="2:13" ht="20.100000000000001" customHeight="1" x14ac:dyDescent="0.3">
      <c r="B26" s="743"/>
      <c r="C26" s="22" t="s">
        <v>47</v>
      </c>
      <c r="D26" s="750"/>
      <c r="E26" s="726"/>
      <c r="F26" s="726"/>
      <c r="G26" s="726"/>
      <c r="H26" s="726"/>
      <c r="I26" s="727"/>
      <c r="J26" s="34"/>
      <c r="K26" s="8"/>
    </row>
    <row r="27" spans="2:13" ht="20.100000000000001" customHeight="1" x14ac:dyDescent="0.3">
      <c r="B27" s="743"/>
      <c r="C27" s="21" t="s">
        <v>375</v>
      </c>
      <c r="D27" s="725"/>
      <c r="E27" s="726"/>
      <c r="F27" s="726"/>
      <c r="G27" s="726"/>
      <c r="H27" s="726"/>
      <c r="I27" s="727"/>
      <c r="J27" s="35"/>
      <c r="K27" s="8"/>
    </row>
    <row r="28" spans="2:13" ht="20.100000000000001" customHeight="1" x14ac:dyDescent="0.3">
      <c r="B28" s="743"/>
      <c r="C28" s="21"/>
      <c r="D28" s="751"/>
      <c r="E28" s="748"/>
      <c r="F28" s="748"/>
      <c r="G28" s="748"/>
      <c r="H28" s="748"/>
      <c r="I28" s="749"/>
      <c r="J28" s="35"/>
      <c r="K28" s="8"/>
      <c r="L28" s="9"/>
    </row>
    <row r="29" spans="2:13" ht="20.100000000000001" customHeight="1" x14ac:dyDescent="0.3">
      <c r="B29" s="743"/>
      <c r="C29" s="29"/>
      <c r="D29" s="752"/>
      <c r="E29" s="753"/>
      <c r="F29" s="753"/>
      <c r="G29" s="753"/>
      <c r="H29" s="753"/>
      <c r="I29" s="754"/>
      <c r="J29" s="33"/>
      <c r="K29" s="8"/>
      <c r="L29" s="9"/>
      <c r="M29" s="9"/>
    </row>
    <row r="30" spans="2:13" ht="20.100000000000001" customHeight="1" x14ac:dyDescent="0.3">
      <c r="B30" s="743"/>
      <c r="C30" s="22" t="s">
        <v>48</v>
      </c>
      <c r="D30" s="750"/>
      <c r="E30" s="726"/>
      <c r="F30" s="726"/>
      <c r="G30" s="726"/>
      <c r="H30" s="726"/>
      <c r="I30" s="727"/>
      <c r="J30" s="34"/>
      <c r="K30" s="8"/>
      <c r="L30" s="9"/>
      <c r="M30" s="9"/>
    </row>
    <row r="31" spans="2:13" ht="20.100000000000001" customHeight="1" x14ac:dyDescent="0.3">
      <c r="B31" s="743"/>
      <c r="C31" s="21" t="s">
        <v>66</v>
      </c>
      <c r="D31" s="725"/>
      <c r="E31" s="726"/>
      <c r="F31" s="726"/>
      <c r="G31" s="726"/>
      <c r="H31" s="726"/>
      <c r="I31" s="727"/>
      <c r="J31" s="35"/>
      <c r="K31" s="8"/>
      <c r="L31" s="9"/>
      <c r="M31" s="9"/>
    </row>
    <row r="32" spans="2:13" ht="20.100000000000001" customHeight="1" x14ac:dyDescent="0.3">
      <c r="B32" s="743"/>
      <c r="C32" s="67"/>
      <c r="D32" s="751"/>
      <c r="E32" s="748"/>
      <c r="F32" s="748"/>
      <c r="G32" s="748"/>
      <c r="H32" s="748"/>
      <c r="I32" s="749"/>
      <c r="J32" s="35"/>
      <c r="K32" s="8"/>
    </row>
    <row r="33" spans="1:17" ht="20.100000000000001" customHeight="1" x14ac:dyDescent="0.3">
      <c r="B33" s="743"/>
      <c r="C33" s="29"/>
      <c r="D33" s="752"/>
      <c r="E33" s="753"/>
      <c r="F33" s="753"/>
      <c r="G33" s="753"/>
      <c r="H33" s="753"/>
      <c r="I33" s="754"/>
      <c r="J33" s="33"/>
      <c r="K33" s="8"/>
    </row>
    <row r="34" spans="1:17" ht="20.100000000000001" customHeight="1" x14ac:dyDescent="0.3">
      <c r="B34" s="743"/>
      <c r="C34" s="22" t="s">
        <v>1083</v>
      </c>
      <c r="D34" s="750"/>
      <c r="E34" s="726"/>
      <c r="F34" s="726"/>
      <c r="G34" s="726"/>
      <c r="H34" s="726"/>
      <c r="I34" s="727"/>
      <c r="J34" s="34"/>
      <c r="K34" s="8"/>
    </row>
    <row r="35" spans="1:17" ht="20.100000000000001" customHeight="1" x14ac:dyDescent="0.3">
      <c r="B35" s="743"/>
      <c r="C35" s="21" t="s">
        <v>951</v>
      </c>
      <c r="D35" s="725"/>
      <c r="E35" s="726"/>
      <c r="F35" s="726"/>
      <c r="G35" s="726"/>
      <c r="H35" s="726"/>
      <c r="I35" s="727"/>
      <c r="J35" s="35"/>
      <c r="K35" s="8"/>
    </row>
    <row r="36" spans="1:17" ht="20.100000000000001" customHeight="1" x14ac:dyDescent="0.3">
      <c r="B36" s="743"/>
      <c r="C36" s="67"/>
      <c r="D36" s="751"/>
      <c r="E36" s="748"/>
      <c r="F36" s="748"/>
      <c r="G36" s="748"/>
      <c r="H36" s="748"/>
      <c r="I36" s="749"/>
      <c r="J36" s="35"/>
      <c r="K36" s="8"/>
    </row>
    <row r="37" spans="1:17" ht="20.100000000000001" customHeight="1" x14ac:dyDescent="0.3">
      <c r="B37" s="743"/>
      <c r="C37" s="29"/>
      <c r="D37" s="752"/>
      <c r="E37" s="753"/>
      <c r="F37" s="753"/>
      <c r="G37" s="753"/>
      <c r="H37" s="753"/>
      <c r="I37" s="754"/>
      <c r="J37" s="33"/>
      <c r="K37" s="8"/>
    </row>
    <row r="38" spans="1:17" ht="20.100000000000001" customHeight="1" x14ac:dyDescent="0.3">
      <c r="B38" s="743"/>
      <c r="C38" s="69" t="s">
        <v>49</v>
      </c>
      <c r="D38" s="750"/>
      <c r="E38" s="726"/>
      <c r="F38" s="726"/>
      <c r="G38" s="726"/>
      <c r="H38" s="726"/>
      <c r="I38" s="727"/>
      <c r="J38" s="34"/>
      <c r="K38" s="8"/>
    </row>
    <row r="39" spans="1:17" ht="20.100000000000001" customHeight="1" x14ac:dyDescent="0.3">
      <c r="B39" s="743"/>
      <c r="C39" s="21"/>
      <c r="D39" s="725"/>
      <c r="E39" s="726"/>
      <c r="F39" s="726"/>
      <c r="G39" s="726"/>
      <c r="H39" s="726"/>
      <c r="I39" s="727"/>
      <c r="J39" s="35"/>
      <c r="K39" s="8"/>
    </row>
    <row r="40" spans="1:17" ht="20.100000000000001" customHeight="1" x14ac:dyDescent="0.3">
      <c r="B40" s="744"/>
      <c r="C40" s="67"/>
      <c r="D40" s="751"/>
      <c r="E40" s="748"/>
      <c r="F40" s="748"/>
      <c r="G40" s="748"/>
      <c r="H40" s="748"/>
      <c r="I40" s="749"/>
      <c r="J40" s="35"/>
      <c r="K40" s="8"/>
    </row>
    <row r="41" spans="1:17" ht="20.100000000000001" customHeight="1" x14ac:dyDescent="0.3">
      <c r="B41" s="745" t="s">
        <v>50</v>
      </c>
      <c r="C41" s="68" t="s">
        <v>3</v>
      </c>
      <c r="D41" s="752" t="s">
        <v>1459</v>
      </c>
      <c r="E41" s="753"/>
      <c r="F41" s="753"/>
      <c r="G41" s="753"/>
      <c r="H41" s="753"/>
      <c r="I41" s="754"/>
      <c r="J41" s="33" t="s">
        <v>1460</v>
      </c>
      <c r="K41" s="8"/>
    </row>
    <row r="42" spans="1:17" ht="20.100000000000001" customHeight="1" x14ac:dyDescent="0.3">
      <c r="B42" s="743"/>
      <c r="C42" s="20">
        <v>4</v>
      </c>
      <c r="D42" s="750" t="s">
        <v>1461</v>
      </c>
      <c r="E42" s="726"/>
      <c r="F42" s="726"/>
      <c r="G42" s="726"/>
      <c r="H42" s="726"/>
      <c r="I42" s="727"/>
      <c r="J42" s="34" t="s">
        <v>1460</v>
      </c>
      <c r="K42" s="8"/>
    </row>
    <row r="43" spans="1:17" ht="20.100000000000001" customHeight="1" x14ac:dyDescent="0.3">
      <c r="B43" s="743"/>
      <c r="C43" s="21" t="str">
        <f>IF(C42=1,"[조용환+]",IF(C42=2,"[한만석+]",IF(C42=3,"[남정현+]",IF(C42=4,"[김광표+]","???"))))</f>
        <v>[김광표+]</v>
      </c>
      <c r="D43" s="725" t="s">
        <v>1463</v>
      </c>
      <c r="E43" s="726"/>
      <c r="F43" s="726"/>
      <c r="G43" s="726"/>
      <c r="H43" s="726"/>
      <c r="I43" s="727"/>
      <c r="J43" s="35" t="s">
        <v>1462</v>
      </c>
      <c r="K43" s="8"/>
    </row>
    <row r="44" spans="1:17" ht="20.100000000000001" customHeight="1" x14ac:dyDescent="0.3">
      <c r="B44" s="743"/>
      <c r="C44" s="13"/>
      <c r="D44" s="725" t="s">
        <v>1464</v>
      </c>
      <c r="E44" s="726"/>
      <c r="F44" s="726"/>
      <c r="G44" s="726"/>
      <c r="H44" s="726"/>
      <c r="I44" s="727"/>
      <c r="J44" s="35"/>
      <c r="K44" s="8"/>
    </row>
    <row r="45" spans="1:17" ht="20.100000000000001" customHeight="1" x14ac:dyDescent="0.3">
      <c r="A45" s="13"/>
      <c r="B45" s="743"/>
      <c r="C45" s="13"/>
      <c r="D45" s="725" t="s">
        <v>1467</v>
      </c>
      <c r="E45" s="726"/>
      <c r="F45" s="726"/>
      <c r="G45" s="726"/>
      <c r="H45" s="726"/>
      <c r="I45" s="727"/>
      <c r="J45" s="35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13"/>
      <c r="D46" s="725" t="s">
        <v>1472</v>
      </c>
      <c r="E46" s="786"/>
      <c r="F46" s="786"/>
      <c r="G46" s="786"/>
      <c r="H46" s="786"/>
      <c r="I46" s="787"/>
      <c r="J46" s="35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13"/>
      <c r="D47" s="725" t="s">
        <v>1468</v>
      </c>
      <c r="E47" s="786"/>
      <c r="F47" s="786"/>
      <c r="G47" s="786"/>
      <c r="H47" s="786"/>
      <c r="I47" s="787"/>
      <c r="J47" s="35" t="s">
        <v>1465</v>
      </c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 t="s">
        <v>1469</v>
      </c>
      <c r="E48" s="786"/>
      <c r="F48" s="786"/>
      <c r="G48" s="786"/>
      <c r="H48" s="786"/>
      <c r="I48" s="78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 t="s">
        <v>1470</v>
      </c>
      <c r="E49" s="786"/>
      <c r="F49" s="786"/>
      <c r="G49" s="786"/>
      <c r="H49" s="786"/>
      <c r="I49" s="787"/>
      <c r="J49" s="35" t="s">
        <v>1466</v>
      </c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 t="s">
        <v>1475</v>
      </c>
      <c r="E50" s="786"/>
      <c r="F50" s="786"/>
      <c r="G50" s="786"/>
      <c r="H50" s="786"/>
      <c r="I50" s="78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x14ac:dyDescent="0.3">
      <c r="A51" s="13"/>
      <c r="B51" s="743"/>
      <c r="C51" s="13"/>
      <c r="D51" s="725" t="s">
        <v>1471</v>
      </c>
      <c r="E51" s="786"/>
      <c r="F51" s="786"/>
      <c r="G51" s="786"/>
      <c r="H51" s="786"/>
      <c r="I51" s="787"/>
      <c r="J51" s="35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3"/>
      <c r="D52" s="725" t="s">
        <v>1474</v>
      </c>
      <c r="E52" s="786"/>
      <c r="F52" s="786"/>
      <c r="G52" s="786"/>
      <c r="H52" s="786"/>
      <c r="I52" s="787"/>
      <c r="J52" s="35"/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13"/>
      <c r="D53" s="725" t="s">
        <v>1476</v>
      </c>
      <c r="E53" s="726"/>
      <c r="F53" s="726"/>
      <c r="G53" s="726"/>
      <c r="H53" s="726"/>
      <c r="I53" s="727"/>
      <c r="J53" s="35"/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19"/>
      <c r="D54" s="747"/>
      <c r="E54" s="748"/>
      <c r="F54" s="748"/>
      <c r="G54" s="748"/>
      <c r="H54" s="748"/>
      <c r="I54" s="749"/>
      <c r="J54" s="36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743"/>
      <c r="C55" s="22" t="s">
        <v>8</v>
      </c>
      <c r="D55" s="752" t="s">
        <v>1477</v>
      </c>
      <c r="E55" s="753"/>
      <c r="F55" s="753"/>
      <c r="G55" s="753"/>
      <c r="H55" s="753"/>
      <c r="I55" s="754"/>
      <c r="J55" s="33"/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20">
        <v>3</v>
      </c>
      <c r="D56" s="750" t="s">
        <v>1478</v>
      </c>
      <c r="E56" s="726"/>
      <c r="F56" s="726"/>
      <c r="G56" s="726"/>
      <c r="H56" s="726"/>
      <c r="I56" s="727"/>
      <c r="J56" s="34"/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21" t="str">
        <f>IF(C56=1,"[조용환+]",IF(C56=2,"[한만석+]",IF(C56=3,"[남정현+]",IF(C56=4,"[김광표+]","???"))))</f>
        <v>[남정현+]</v>
      </c>
      <c r="D57" s="725" t="s">
        <v>1479</v>
      </c>
      <c r="E57" s="726"/>
      <c r="F57" s="726"/>
      <c r="G57" s="726"/>
      <c r="H57" s="726"/>
      <c r="I57" s="727"/>
      <c r="J57" s="35"/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13"/>
      <c r="D58" s="725"/>
      <c r="E58" s="726"/>
      <c r="F58" s="726"/>
      <c r="G58" s="726"/>
      <c r="H58" s="726"/>
      <c r="I58" s="727"/>
      <c r="J58" s="35"/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13"/>
      <c r="D59" s="725"/>
      <c r="E59" s="726"/>
      <c r="F59" s="726"/>
      <c r="G59" s="726"/>
      <c r="H59" s="726"/>
      <c r="I59" s="727"/>
      <c r="J59" s="35"/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13"/>
      <c r="D60" s="725"/>
      <c r="E60" s="726"/>
      <c r="F60" s="726"/>
      <c r="G60" s="726"/>
      <c r="H60" s="726"/>
      <c r="I60" s="727"/>
      <c r="J60" s="35"/>
      <c r="K60" s="8"/>
      <c r="L60" s="10"/>
      <c r="M60" s="10"/>
      <c r="N60" s="10"/>
      <c r="O60" s="10"/>
      <c r="P60" s="10"/>
      <c r="Q60" s="10"/>
    </row>
    <row r="61" spans="1:17" ht="20.100000000000001" customHeight="1" thickBot="1" x14ac:dyDescent="0.35">
      <c r="A61" s="13"/>
      <c r="B61" s="746"/>
      <c r="C61" s="25"/>
      <c r="D61" s="761"/>
      <c r="E61" s="762"/>
      <c r="F61" s="762"/>
      <c r="G61" s="762"/>
      <c r="H61" s="762"/>
      <c r="I61" s="763"/>
      <c r="J61" s="37"/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23" t="s">
        <v>12</v>
      </c>
      <c r="C62" s="17"/>
      <c r="D62" s="17"/>
      <c r="E62" s="17"/>
      <c r="F62" s="17"/>
      <c r="G62" s="17"/>
      <c r="H62" s="17"/>
      <c r="I62" s="17"/>
      <c r="J62" s="17"/>
      <c r="K62" s="8"/>
      <c r="L62" s="10"/>
      <c r="M62" s="10"/>
      <c r="N62" s="10"/>
      <c r="O62" s="10"/>
      <c r="P62" s="10"/>
      <c r="Q62" s="10"/>
    </row>
    <row r="63" spans="1:17" ht="6" customHeight="1" x14ac:dyDescent="0.3">
      <c r="A63" s="13"/>
      <c r="B63" s="17"/>
      <c r="C63" s="17"/>
      <c r="D63" s="17"/>
      <c r="E63" s="17"/>
      <c r="F63" s="17"/>
      <c r="G63" s="17"/>
      <c r="H63" s="17"/>
      <c r="I63" s="17"/>
      <c r="J63" s="17"/>
      <c r="K63" s="8"/>
      <c r="L63" s="10"/>
      <c r="M63" s="10"/>
      <c r="N63" s="10"/>
      <c r="O63" s="10"/>
      <c r="P63" s="10"/>
      <c r="Q63" s="10"/>
    </row>
    <row r="64" spans="1:17" ht="18.75" customHeight="1" thickBot="1" x14ac:dyDescent="0.35">
      <c r="B64" s="1" t="s">
        <v>7</v>
      </c>
      <c r="C64" s="17"/>
      <c r="D64" s="17"/>
      <c r="E64" s="17"/>
      <c r="F64" s="17"/>
      <c r="G64" s="17"/>
      <c r="H64" s="17"/>
      <c r="I64" s="17"/>
      <c r="J64" s="18"/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38"/>
      <c r="B65" s="764" t="s">
        <v>1183</v>
      </c>
      <c r="C65" s="765"/>
      <c r="D65" s="765"/>
      <c r="E65" s="765"/>
      <c r="F65" s="765"/>
      <c r="G65" s="765"/>
      <c r="H65" s="765"/>
      <c r="I65" s="765"/>
      <c r="J65" s="766"/>
      <c r="K65" s="39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38"/>
      <c r="B66" s="767" t="s">
        <v>1517</v>
      </c>
      <c r="C66" s="768"/>
      <c r="D66" s="768"/>
      <c r="E66" s="768"/>
      <c r="F66" s="768"/>
      <c r="G66" s="768"/>
      <c r="H66" s="768"/>
      <c r="I66" s="768"/>
      <c r="J66" s="769"/>
      <c r="K66" s="39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38"/>
      <c r="B67" s="755" t="s">
        <v>1172</v>
      </c>
      <c r="C67" s="756"/>
      <c r="D67" s="756"/>
      <c r="E67" s="756"/>
      <c r="F67" s="756"/>
      <c r="G67" s="756"/>
      <c r="H67" s="756"/>
      <c r="I67" s="756"/>
      <c r="J67" s="757"/>
      <c r="K67" s="39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38"/>
      <c r="B68" s="755"/>
      <c r="C68" s="756"/>
      <c r="D68" s="756"/>
      <c r="E68" s="756"/>
      <c r="F68" s="756"/>
      <c r="G68" s="756"/>
      <c r="H68" s="756"/>
      <c r="I68" s="756"/>
      <c r="J68" s="757"/>
      <c r="K68" s="39"/>
      <c r="L68" s="10"/>
      <c r="M68" s="10"/>
      <c r="N68" s="10"/>
      <c r="O68" s="10"/>
      <c r="P68" s="10"/>
      <c r="Q68" s="10"/>
    </row>
    <row r="69" spans="1:17" ht="20.100000000000001" customHeight="1" x14ac:dyDescent="0.3">
      <c r="A69" s="38"/>
      <c r="B69" s="755"/>
      <c r="C69" s="756"/>
      <c r="D69" s="756"/>
      <c r="E69" s="756"/>
      <c r="F69" s="756"/>
      <c r="G69" s="756"/>
      <c r="H69" s="756"/>
      <c r="I69" s="756"/>
      <c r="J69" s="757"/>
      <c r="K69" s="38"/>
    </row>
    <row r="70" spans="1:17" ht="20.100000000000001" customHeight="1" thickBot="1" x14ac:dyDescent="0.35">
      <c r="A70" s="38"/>
      <c r="B70" s="758"/>
      <c r="C70" s="759"/>
      <c r="D70" s="759"/>
      <c r="E70" s="759"/>
      <c r="F70" s="759"/>
      <c r="G70" s="759"/>
      <c r="H70" s="759"/>
      <c r="I70" s="759"/>
      <c r="J70" s="760"/>
      <c r="K70" s="38"/>
    </row>
    <row r="71" spans="1:17" ht="5.25" customHeight="1" x14ac:dyDescent="0.3">
      <c r="B71" s="11"/>
      <c r="C71" s="11"/>
      <c r="D71" s="11"/>
      <c r="E71" s="11"/>
      <c r="F71" s="11"/>
      <c r="G71" s="11"/>
      <c r="H71" s="11"/>
      <c r="I71" s="11"/>
      <c r="J71" s="11"/>
    </row>
    <row r="72" spans="1:17" ht="24.95" customHeight="1" x14ac:dyDescent="0.3">
      <c r="B72" s="12"/>
      <c r="C72" s="12"/>
      <c r="D72" s="12"/>
      <c r="E72" s="12"/>
      <c r="F72" s="12"/>
      <c r="G72" s="12"/>
      <c r="H72" s="12"/>
      <c r="I72" s="12"/>
      <c r="J72" s="12"/>
    </row>
    <row r="73" spans="1:17" x14ac:dyDescent="0.3">
      <c r="B73" s="13"/>
      <c r="C73" s="13"/>
      <c r="D73" s="13"/>
      <c r="E73" s="13"/>
      <c r="F73" s="13"/>
      <c r="G73" s="13"/>
      <c r="H73" s="13"/>
      <c r="I73" s="13"/>
      <c r="J73" s="13"/>
    </row>
    <row r="74" spans="1:17" ht="24.95" customHeight="1" x14ac:dyDescent="0.3">
      <c r="B74" s="13"/>
      <c r="C74" s="770"/>
      <c r="D74" s="770"/>
      <c r="E74" s="770"/>
      <c r="F74" s="770"/>
      <c r="G74" s="770"/>
      <c r="H74" s="770"/>
      <c r="I74" s="13"/>
      <c r="J74" s="13"/>
    </row>
    <row r="75" spans="1:17" ht="24.95" customHeight="1" x14ac:dyDescent="0.3">
      <c r="B75" s="13"/>
      <c r="C75" s="14"/>
      <c r="D75" s="14"/>
      <c r="E75" s="14"/>
      <c r="F75" s="14"/>
      <c r="G75" s="14"/>
      <c r="H75" s="14"/>
      <c r="I75" s="13"/>
      <c r="J75" s="13"/>
    </row>
    <row r="76" spans="1:17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1:17" ht="24.95" customHeight="1" x14ac:dyDescent="0.3">
      <c r="B77" s="13"/>
      <c r="C77" s="770"/>
      <c r="D77" s="770"/>
      <c r="E77" s="770"/>
      <c r="F77" s="770"/>
      <c r="G77" s="770"/>
      <c r="H77" s="770"/>
      <c r="I77" s="13"/>
      <c r="J77" s="13"/>
    </row>
    <row r="78" spans="1:17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1:17" ht="24.95" customHeight="1" x14ac:dyDescent="0.3">
      <c r="B79" s="13"/>
      <c r="C79" s="13"/>
      <c r="D79" s="13"/>
      <c r="E79" s="14"/>
      <c r="F79" s="14"/>
      <c r="G79" s="14"/>
      <c r="H79" s="14"/>
      <c r="I79" s="14"/>
      <c r="J79" s="14"/>
    </row>
    <row r="80" spans="1:17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ht="24.95" customHeight="1" x14ac:dyDescent="0.3">
      <c r="B81" s="13"/>
      <c r="C81" s="13"/>
      <c r="D81" s="14"/>
      <c r="E81" s="14"/>
      <c r="F81" s="14"/>
      <c r="G81" s="14"/>
      <c r="H81" s="14"/>
      <c r="I81" s="14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ht="24.95" customHeight="1" x14ac:dyDescent="0.3">
      <c r="B83" s="13"/>
      <c r="C83" s="13"/>
      <c r="D83" s="14"/>
      <c r="E83" s="14"/>
      <c r="F83" s="14"/>
      <c r="G83" s="14"/>
      <c r="H83" s="14"/>
      <c r="I83" s="14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</sheetData>
  <mergeCells count="65">
    <mergeCell ref="B16:J16"/>
    <mergeCell ref="B19:J19"/>
    <mergeCell ref="B21:B40"/>
    <mergeCell ref="D23:I23"/>
    <mergeCell ref="D24:I24"/>
    <mergeCell ref="D25:I25"/>
    <mergeCell ref="D26:I26"/>
    <mergeCell ref="D27:I27"/>
    <mergeCell ref="D30:I30"/>
    <mergeCell ref="D36:I36"/>
    <mergeCell ref="D28:I28"/>
    <mergeCell ref="D29:I29"/>
    <mergeCell ref="D35:I35"/>
    <mergeCell ref="D37:I37"/>
    <mergeCell ref="D38:I38"/>
    <mergeCell ref="D60:I60"/>
    <mergeCell ref="D47:I47"/>
    <mergeCell ref="B13:J13"/>
    <mergeCell ref="B2:J2"/>
    <mergeCell ref="B3:H3"/>
    <mergeCell ref="B6:J6"/>
    <mergeCell ref="B7:J7"/>
    <mergeCell ref="B12:J12"/>
    <mergeCell ref="B8:J8"/>
    <mergeCell ref="B9:J9"/>
    <mergeCell ref="B10:J10"/>
    <mergeCell ref="B11:J11"/>
    <mergeCell ref="B14:J14"/>
    <mergeCell ref="B15:J15"/>
    <mergeCell ref="D21:I21"/>
    <mergeCell ref="D22:I22"/>
    <mergeCell ref="D58:I58"/>
    <mergeCell ref="D45:I45"/>
    <mergeCell ref="D53:I53"/>
    <mergeCell ref="D50:I50"/>
    <mergeCell ref="D59:I59"/>
    <mergeCell ref="C77:H77"/>
    <mergeCell ref="B65:J65"/>
    <mergeCell ref="B66:J66"/>
    <mergeCell ref="B67:J67"/>
    <mergeCell ref="B68:J68"/>
    <mergeCell ref="B69:J69"/>
    <mergeCell ref="B70:J70"/>
    <mergeCell ref="B41:B61"/>
    <mergeCell ref="C74:H74"/>
    <mergeCell ref="D61:I61"/>
    <mergeCell ref="D43:I43"/>
    <mergeCell ref="D44:I44"/>
    <mergeCell ref="D54:I54"/>
    <mergeCell ref="D55:I55"/>
    <mergeCell ref="D41:I41"/>
    <mergeCell ref="D51:I51"/>
    <mergeCell ref="D52:I52"/>
    <mergeCell ref="D42:I42"/>
    <mergeCell ref="D46:I46"/>
    <mergeCell ref="D48:I48"/>
    <mergeCell ref="D49:I49"/>
    <mergeCell ref="D56:I56"/>
    <mergeCell ref="D57:I57"/>
    <mergeCell ref="D39:I39"/>
    <mergeCell ref="D40:I40"/>
    <mergeCell ref="D31:I31"/>
    <mergeCell ref="D32:I32"/>
    <mergeCell ref="D33:I33"/>
    <mergeCell ref="D34:I34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55" fitToHeight="99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>
    <pageSetUpPr fitToPage="1"/>
  </sheetPr>
  <dimension ref="A1:Q104"/>
  <sheetViews>
    <sheetView showGridLines="0" view="pageBreakPreview" topLeftCell="A46" zoomScale="85" zoomScaleNormal="100" zoomScaleSheetLayoutView="85" workbookViewId="0">
      <selection activeCell="D55" sqref="D55:I55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'16'!B3+1</f>
        <v>46282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1483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 t="s">
        <v>1484</v>
      </c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1" t="s">
        <v>1485</v>
      </c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803" t="s">
        <v>1491</v>
      </c>
      <c r="C9" s="804"/>
      <c r="D9" s="804"/>
      <c r="E9" s="804"/>
      <c r="F9" s="804"/>
      <c r="G9" s="804"/>
      <c r="H9" s="804"/>
      <c r="I9" s="804"/>
      <c r="J9" s="805"/>
    </row>
    <row r="10" spans="2:10" ht="20.100000000000001" customHeight="1" x14ac:dyDescent="0.3">
      <c r="B10" s="731" t="s">
        <v>1492</v>
      </c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/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1" t="s">
        <v>1486</v>
      </c>
      <c r="C12" s="732"/>
      <c r="D12" s="732"/>
      <c r="E12" s="732"/>
      <c r="F12" s="732"/>
      <c r="G12" s="732"/>
      <c r="H12" s="732"/>
      <c r="I12" s="732"/>
      <c r="J12" s="733"/>
    </row>
    <row r="13" spans="2:10" ht="20.100000000000001" customHeight="1" x14ac:dyDescent="0.3">
      <c r="B13" s="731" t="s">
        <v>1487</v>
      </c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31" t="s">
        <v>1488</v>
      </c>
      <c r="C14" s="732"/>
      <c r="D14" s="732"/>
      <c r="E14" s="732"/>
      <c r="F14" s="732"/>
      <c r="G14" s="732"/>
      <c r="H14" s="732"/>
      <c r="I14" s="732"/>
      <c r="J14" s="733"/>
    </row>
    <row r="15" spans="2:10" ht="66.75" customHeight="1" x14ac:dyDescent="0.3">
      <c r="B15" s="777" t="s">
        <v>1489</v>
      </c>
      <c r="C15" s="732"/>
      <c r="D15" s="732"/>
      <c r="E15" s="732"/>
      <c r="F15" s="732"/>
      <c r="G15" s="732"/>
      <c r="H15" s="732"/>
      <c r="I15" s="732"/>
      <c r="J15" s="733"/>
    </row>
    <row r="16" spans="2:10" ht="20.100000000000001" customHeight="1" x14ac:dyDescent="0.3">
      <c r="B16" s="731" t="s">
        <v>1490</v>
      </c>
      <c r="C16" s="732"/>
      <c r="D16" s="732"/>
      <c r="E16" s="732"/>
      <c r="F16" s="732"/>
      <c r="G16" s="732"/>
      <c r="H16" s="732"/>
      <c r="I16" s="732"/>
      <c r="J16" s="733"/>
    </row>
    <row r="17" spans="2:11" ht="20.100000000000001" customHeight="1" x14ac:dyDescent="0.3">
      <c r="B17" s="731" t="s">
        <v>1493</v>
      </c>
      <c r="C17" s="732"/>
      <c r="D17" s="732"/>
      <c r="E17" s="732"/>
      <c r="F17" s="732"/>
      <c r="G17" s="732"/>
      <c r="H17" s="732"/>
      <c r="I17" s="732"/>
      <c r="J17" s="733"/>
    </row>
    <row r="18" spans="2:11" ht="20.100000000000001" customHeight="1" x14ac:dyDescent="0.3">
      <c r="B18" s="731"/>
      <c r="C18" s="732"/>
      <c r="D18" s="732"/>
      <c r="E18" s="732"/>
      <c r="F18" s="732"/>
      <c r="G18" s="732"/>
      <c r="H18" s="732"/>
      <c r="I18" s="732"/>
      <c r="J18" s="733"/>
    </row>
    <row r="19" spans="2:11" ht="20.100000000000001" customHeight="1" x14ac:dyDescent="0.3">
      <c r="B19" s="785"/>
      <c r="C19" s="732"/>
      <c r="D19" s="732"/>
      <c r="E19" s="732"/>
      <c r="F19" s="732"/>
      <c r="G19" s="732"/>
      <c r="H19" s="732"/>
      <c r="I19" s="732"/>
      <c r="J19" s="733"/>
    </row>
    <row r="20" spans="2:11" ht="20.100000000000001" customHeight="1" x14ac:dyDescent="0.3">
      <c r="B20" s="731"/>
      <c r="C20" s="732"/>
      <c r="D20" s="732"/>
      <c r="E20" s="732"/>
      <c r="F20" s="732"/>
      <c r="G20" s="732"/>
      <c r="H20" s="732"/>
      <c r="I20" s="732"/>
      <c r="J20" s="733"/>
    </row>
    <row r="21" spans="2:11" ht="7.5" customHeight="1" thickBot="1" x14ac:dyDescent="0.35">
      <c r="B21" s="737"/>
      <c r="C21" s="738"/>
      <c r="D21" s="738"/>
      <c r="E21" s="738"/>
      <c r="F21" s="738"/>
      <c r="G21" s="738"/>
      <c r="H21" s="738"/>
      <c r="I21" s="738"/>
      <c r="J21" s="739"/>
    </row>
    <row r="22" spans="2:11" ht="21.75" customHeight="1" x14ac:dyDescent="0.3">
      <c r="B22" s="16"/>
      <c r="C22" s="16"/>
      <c r="D22" s="16"/>
      <c r="E22" s="16"/>
      <c r="F22" s="16"/>
      <c r="G22" s="16"/>
      <c r="H22" s="16"/>
      <c r="I22" s="16"/>
      <c r="J22" s="16"/>
    </row>
    <row r="23" spans="2:11" ht="23.1" customHeight="1" thickBot="1" x14ac:dyDescent="0.35">
      <c r="B23" s="1" t="s">
        <v>1</v>
      </c>
      <c r="I23" s="2"/>
      <c r="J23" s="24" t="s">
        <v>9</v>
      </c>
    </row>
    <row r="24" spans="2:11" ht="24.95" customHeight="1" thickBot="1" x14ac:dyDescent="0.35">
      <c r="B24" s="740" t="s">
        <v>10</v>
      </c>
      <c r="C24" s="741"/>
      <c r="D24" s="741"/>
      <c r="E24" s="741"/>
      <c r="F24" s="741"/>
      <c r="G24" s="741"/>
      <c r="H24" s="741"/>
      <c r="I24" s="741"/>
      <c r="J24" s="742"/>
      <c r="K24" s="8"/>
    </row>
    <row r="25" spans="2:11" ht="20.100000000000001" customHeight="1" x14ac:dyDescent="0.3">
      <c r="B25" s="3" t="s">
        <v>0</v>
      </c>
      <c r="C25" s="31" t="s">
        <v>11</v>
      </c>
      <c r="D25" s="26" t="s">
        <v>5</v>
      </c>
      <c r="E25" s="27"/>
      <c r="F25" s="27"/>
      <c r="G25" s="27"/>
      <c r="H25" s="27"/>
      <c r="I25" s="28"/>
      <c r="J25" s="32" t="s">
        <v>4</v>
      </c>
      <c r="K25" s="8"/>
    </row>
    <row r="26" spans="2:11" ht="20.100000000000001" customHeight="1" x14ac:dyDescent="0.3">
      <c r="B26" s="743" t="s">
        <v>2</v>
      </c>
      <c r="C26" s="29"/>
      <c r="D26" s="752"/>
      <c r="E26" s="753"/>
      <c r="F26" s="753"/>
      <c r="G26" s="753"/>
      <c r="H26" s="753"/>
      <c r="I26" s="754"/>
      <c r="J26" s="33"/>
      <c r="K26" s="8"/>
    </row>
    <row r="27" spans="2:11" ht="20.100000000000001" customHeight="1" x14ac:dyDescent="0.3">
      <c r="B27" s="743"/>
      <c r="C27" s="22" t="s">
        <v>65</v>
      </c>
      <c r="D27" s="750"/>
      <c r="E27" s="726"/>
      <c r="F27" s="726"/>
      <c r="G27" s="726"/>
      <c r="H27" s="726"/>
      <c r="I27" s="727"/>
      <c r="J27" s="34"/>
      <c r="K27" s="8"/>
    </row>
    <row r="28" spans="2:11" ht="20.100000000000001" customHeight="1" x14ac:dyDescent="0.3">
      <c r="B28" s="743"/>
      <c r="C28" s="21" t="s">
        <v>243</v>
      </c>
      <c r="D28" s="725"/>
      <c r="E28" s="726"/>
      <c r="F28" s="726"/>
      <c r="G28" s="726"/>
      <c r="H28" s="726"/>
      <c r="I28" s="727"/>
      <c r="J28" s="35"/>
      <c r="K28" s="8"/>
    </row>
    <row r="29" spans="2:11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6"/>
      <c r="K29" s="8"/>
    </row>
    <row r="30" spans="2:11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1" ht="20.100000000000001" customHeight="1" x14ac:dyDescent="0.3">
      <c r="B31" s="743"/>
      <c r="C31" s="22" t="s">
        <v>47</v>
      </c>
      <c r="D31" s="750"/>
      <c r="E31" s="726"/>
      <c r="F31" s="726"/>
      <c r="G31" s="726"/>
      <c r="H31" s="726"/>
      <c r="I31" s="727"/>
      <c r="J31" s="34"/>
      <c r="K31" s="8"/>
    </row>
    <row r="32" spans="2:11" ht="20.100000000000001" customHeight="1" x14ac:dyDescent="0.3">
      <c r="B32" s="743"/>
      <c r="C32" s="21" t="s">
        <v>375</v>
      </c>
      <c r="D32" s="725"/>
      <c r="E32" s="726"/>
      <c r="F32" s="726"/>
      <c r="G32" s="726"/>
      <c r="H32" s="726"/>
      <c r="I32" s="727"/>
      <c r="J32" s="35"/>
      <c r="K32" s="8"/>
    </row>
    <row r="33" spans="2:13" ht="20.100000000000001" customHeight="1" x14ac:dyDescent="0.3">
      <c r="B33" s="743"/>
      <c r="C33" s="21"/>
      <c r="D33" s="751"/>
      <c r="E33" s="748"/>
      <c r="F33" s="748"/>
      <c r="G33" s="748"/>
      <c r="H33" s="748"/>
      <c r="I33" s="749"/>
      <c r="J33" s="35"/>
      <c r="K33" s="8"/>
      <c r="L33" s="9"/>
    </row>
    <row r="34" spans="2:13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  <c r="L34" s="9"/>
      <c r="M34" s="9"/>
    </row>
    <row r="35" spans="2:13" ht="20.100000000000001" customHeight="1" x14ac:dyDescent="0.3">
      <c r="B35" s="743"/>
      <c r="C35" s="22" t="s">
        <v>48</v>
      </c>
      <c r="D35" s="750"/>
      <c r="E35" s="726"/>
      <c r="F35" s="726"/>
      <c r="G35" s="726"/>
      <c r="H35" s="726"/>
      <c r="I35" s="727"/>
      <c r="J35" s="34"/>
      <c r="K35" s="8"/>
      <c r="L35" s="9"/>
      <c r="M35" s="9"/>
    </row>
    <row r="36" spans="2:13" ht="20.100000000000001" customHeight="1" x14ac:dyDescent="0.3">
      <c r="B36" s="743"/>
      <c r="C36" s="21" t="s">
        <v>66</v>
      </c>
      <c r="D36" s="725"/>
      <c r="E36" s="726"/>
      <c r="F36" s="726"/>
      <c r="G36" s="726"/>
      <c r="H36" s="726"/>
      <c r="I36" s="727"/>
      <c r="J36" s="35"/>
      <c r="K36" s="8"/>
      <c r="L36" s="9"/>
      <c r="M36" s="9"/>
    </row>
    <row r="37" spans="2:13" ht="20.100000000000001" customHeight="1" x14ac:dyDescent="0.3">
      <c r="B37" s="743"/>
      <c r="C37" s="67"/>
      <c r="D37" s="751"/>
      <c r="E37" s="748"/>
      <c r="F37" s="748"/>
      <c r="G37" s="748"/>
      <c r="H37" s="748"/>
      <c r="I37" s="749"/>
      <c r="J37" s="35"/>
      <c r="K37" s="8"/>
    </row>
    <row r="38" spans="2:13" ht="20.100000000000001" customHeight="1" x14ac:dyDescent="0.3">
      <c r="B38" s="743"/>
      <c r="C38" s="29"/>
      <c r="D38" s="752"/>
      <c r="E38" s="753"/>
      <c r="F38" s="753"/>
      <c r="G38" s="753"/>
      <c r="H38" s="753"/>
      <c r="I38" s="754"/>
      <c r="J38" s="33"/>
      <c r="K38" s="8"/>
    </row>
    <row r="39" spans="2:13" ht="20.100000000000001" customHeight="1" x14ac:dyDescent="0.3">
      <c r="B39" s="743"/>
      <c r="C39" s="22" t="s">
        <v>1083</v>
      </c>
      <c r="D39" s="750"/>
      <c r="E39" s="726"/>
      <c r="F39" s="726"/>
      <c r="G39" s="726"/>
      <c r="H39" s="726"/>
      <c r="I39" s="727"/>
      <c r="J39" s="34"/>
      <c r="K39" s="8"/>
    </row>
    <row r="40" spans="2:13" ht="20.100000000000001" customHeight="1" x14ac:dyDescent="0.3">
      <c r="B40" s="743"/>
      <c r="C40" s="21" t="s">
        <v>951</v>
      </c>
      <c r="D40" s="725"/>
      <c r="E40" s="726"/>
      <c r="F40" s="726"/>
      <c r="G40" s="726"/>
      <c r="H40" s="726"/>
      <c r="I40" s="727"/>
      <c r="J40" s="35"/>
      <c r="K40" s="8"/>
    </row>
    <row r="41" spans="2:13" ht="20.100000000000001" customHeight="1" x14ac:dyDescent="0.3">
      <c r="B41" s="743"/>
      <c r="C41" s="67"/>
      <c r="D41" s="751"/>
      <c r="E41" s="748"/>
      <c r="F41" s="748"/>
      <c r="G41" s="748"/>
      <c r="H41" s="748"/>
      <c r="I41" s="749"/>
      <c r="J41" s="35"/>
      <c r="K41" s="8"/>
    </row>
    <row r="42" spans="2:13" ht="20.100000000000001" customHeight="1" x14ac:dyDescent="0.3">
      <c r="B42" s="743"/>
      <c r="C42" s="29"/>
      <c r="D42" s="752"/>
      <c r="E42" s="753"/>
      <c r="F42" s="753"/>
      <c r="G42" s="753"/>
      <c r="H42" s="753"/>
      <c r="I42" s="754"/>
      <c r="J42" s="33"/>
      <c r="K42" s="8"/>
    </row>
    <row r="43" spans="2:13" ht="20.100000000000001" customHeight="1" x14ac:dyDescent="0.3">
      <c r="B43" s="743"/>
      <c r="C43" s="69" t="s">
        <v>49</v>
      </c>
      <c r="D43" s="750"/>
      <c r="E43" s="726"/>
      <c r="F43" s="726"/>
      <c r="G43" s="726"/>
      <c r="H43" s="726"/>
      <c r="I43" s="727"/>
      <c r="J43" s="34"/>
      <c r="K43" s="8"/>
    </row>
    <row r="44" spans="2:13" ht="20.100000000000001" customHeight="1" x14ac:dyDescent="0.3">
      <c r="B44" s="743"/>
      <c r="C44" s="21"/>
      <c r="D44" s="725"/>
      <c r="E44" s="726"/>
      <c r="F44" s="726"/>
      <c r="G44" s="726"/>
      <c r="H44" s="726"/>
      <c r="I44" s="727"/>
      <c r="J44" s="35"/>
      <c r="K44" s="8"/>
    </row>
    <row r="45" spans="2:13" ht="20.100000000000001" customHeight="1" x14ac:dyDescent="0.3">
      <c r="B45" s="744"/>
      <c r="C45" s="67"/>
      <c r="D45" s="751"/>
      <c r="E45" s="748"/>
      <c r="F45" s="748"/>
      <c r="G45" s="748"/>
      <c r="H45" s="748"/>
      <c r="I45" s="749"/>
      <c r="J45" s="35"/>
      <c r="K45" s="8"/>
    </row>
    <row r="46" spans="2:13" ht="20.100000000000001" customHeight="1" x14ac:dyDescent="0.3">
      <c r="B46" s="745" t="s">
        <v>50</v>
      </c>
      <c r="C46" s="68" t="s">
        <v>3</v>
      </c>
      <c r="D46" s="752" t="s">
        <v>1494</v>
      </c>
      <c r="E46" s="753"/>
      <c r="F46" s="753"/>
      <c r="G46" s="753"/>
      <c r="H46" s="753"/>
      <c r="I46" s="754"/>
      <c r="J46" s="33" t="s">
        <v>1497</v>
      </c>
      <c r="K46" s="8"/>
    </row>
    <row r="47" spans="2:13" ht="20.100000000000001" customHeight="1" x14ac:dyDescent="0.3">
      <c r="B47" s="743"/>
      <c r="C47" s="20">
        <v>2</v>
      </c>
      <c r="D47" s="750" t="s">
        <v>1495</v>
      </c>
      <c r="E47" s="726"/>
      <c r="F47" s="726"/>
      <c r="G47" s="726"/>
      <c r="H47" s="726"/>
      <c r="I47" s="727"/>
      <c r="J47" s="34" t="s">
        <v>1498</v>
      </c>
      <c r="K47" s="8"/>
    </row>
    <row r="48" spans="2:13" ht="20.100000000000001" customHeight="1" x14ac:dyDescent="0.3">
      <c r="B48" s="743"/>
      <c r="C48" s="21" t="str">
        <f>IF(C47=1,"[조용환+]",IF(C47=2,"[한만석+]",IF(C47=3,"[남정현+]",IF(C47=4,"[김광표+]","???"))))</f>
        <v>[한만석+]</v>
      </c>
      <c r="D48" s="725" t="s">
        <v>1496</v>
      </c>
      <c r="E48" s="726"/>
      <c r="F48" s="726"/>
      <c r="G48" s="726"/>
      <c r="H48" s="726"/>
      <c r="I48" s="727"/>
      <c r="J48" s="35" t="s">
        <v>1499</v>
      </c>
      <c r="K48" s="8"/>
    </row>
    <row r="49" spans="1:17" ht="20.100000000000001" customHeight="1" x14ac:dyDescent="0.3">
      <c r="B49" s="743"/>
      <c r="C49" s="13"/>
      <c r="D49" s="725" t="s">
        <v>1515</v>
      </c>
      <c r="E49" s="726"/>
      <c r="F49" s="726"/>
      <c r="G49" s="726"/>
      <c r="H49" s="726"/>
      <c r="I49" s="727"/>
      <c r="J49" s="35"/>
      <c r="K49" s="8"/>
    </row>
    <row r="50" spans="1:17" ht="20.100000000000001" customHeight="1" x14ac:dyDescent="0.3">
      <c r="A50" s="13"/>
      <c r="B50" s="743"/>
      <c r="C50" s="13"/>
      <c r="D50" s="725" t="s">
        <v>1500</v>
      </c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x14ac:dyDescent="0.3">
      <c r="A51" s="13"/>
      <c r="B51" s="743"/>
      <c r="C51" s="13"/>
      <c r="D51" s="728" t="s">
        <v>1501</v>
      </c>
      <c r="E51" s="729"/>
      <c r="F51" s="729"/>
      <c r="G51" s="729"/>
      <c r="H51" s="729"/>
      <c r="I51" s="730"/>
      <c r="J51" s="35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3"/>
      <c r="D52" s="728" t="s">
        <v>1502</v>
      </c>
      <c r="E52" s="729"/>
      <c r="F52" s="729"/>
      <c r="G52" s="729"/>
      <c r="H52" s="729"/>
      <c r="I52" s="730"/>
      <c r="J52" s="35"/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13"/>
      <c r="D53" s="728" t="s">
        <v>1503</v>
      </c>
      <c r="E53" s="729"/>
      <c r="F53" s="729"/>
      <c r="G53" s="729"/>
      <c r="H53" s="729"/>
      <c r="I53" s="730"/>
      <c r="J53" s="35"/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13"/>
      <c r="D54" s="728" t="s">
        <v>1504</v>
      </c>
      <c r="E54" s="801"/>
      <c r="F54" s="801"/>
      <c r="G54" s="801"/>
      <c r="H54" s="801"/>
      <c r="I54" s="802"/>
      <c r="J54" s="35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743"/>
      <c r="C55" s="13"/>
      <c r="D55" s="728" t="s">
        <v>1514</v>
      </c>
      <c r="E55" s="729"/>
      <c r="F55" s="729"/>
      <c r="G55" s="729"/>
      <c r="H55" s="729"/>
      <c r="I55" s="730"/>
      <c r="J55" s="35"/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13"/>
      <c r="D56" s="728" t="s">
        <v>1506</v>
      </c>
      <c r="E56" s="729"/>
      <c r="F56" s="729"/>
      <c r="G56" s="729"/>
      <c r="H56" s="729"/>
      <c r="I56" s="730"/>
      <c r="J56" s="35"/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19"/>
      <c r="D57" s="747" t="s">
        <v>1505</v>
      </c>
      <c r="E57" s="748"/>
      <c r="F57" s="748"/>
      <c r="G57" s="748"/>
      <c r="H57" s="748"/>
      <c r="I57" s="749"/>
      <c r="J57" s="36"/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22" t="s">
        <v>8</v>
      </c>
      <c r="D58" s="752" t="s">
        <v>1507</v>
      </c>
      <c r="E58" s="753"/>
      <c r="F58" s="753"/>
      <c r="G58" s="753"/>
      <c r="H58" s="753"/>
      <c r="I58" s="754"/>
      <c r="J58" s="33"/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13"/>
      <c r="B59" s="743"/>
      <c r="C59" s="20">
        <v>1</v>
      </c>
      <c r="D59" s="750" t="s">
        <v>1508</v>
      </c>
      <c r="E59" s="726"/>
      <c r="F59" s="726"/>
      <c r="G59" s="726"/>
      <c r="H59" s="726"/>
      <c r="I59" s="727"/>
      <c r="J59" s="34" t="s">
        <v>1512</v>
      </c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743"/>
      <c r="C60" s="21" t="str">
        <f>IF(C59=1,"[조용환+]",IF(C59=2,"[한만석+]",IF(C59=3,"[남정현+]",IF(C59=4,"[김광표+]","???"))))</f>
        <v>[조용환+]</v>
      </c>
      <c r="D60" s="725" t="s">
        <v>1513</v>
      </c>
      <c r="E60" s="726"/>
      <c r="F60" s="726"/>
      <c r="G60" s="726"/>
      <c r="H60" s="726"/>
      <c r="I60" s="727"/>
      <c r="J60" s="35"/>
      <c r="K60" s="8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13"/>
      <c r="B61" s="743"/>
      <c r="C61" s="13"/>
      <c r="D61" s="725" t="s">
        <v>1509</v>
      </c>
      <c r="E61" s="726"/>
      <c r="F61" s="726"/>
      <c r="G61" s="726"/>
      <c r="H61" s="726"/>
      <c r="I61" s="727"/>
      <c r="J61" s="35"/>
      <c r="K61" s="8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13"/>
      <c r="B62" s="743"/>
      <c r="C62" s="13"/>
      <c r="D62" s="725" t="s">
        <v>1510</v>
      </c>
      <c r="E62" s="726"/>
      <c r="F62" s="726"/>
      <c r="G62" s="726"/>
      <c r="H62" s="726"/>
      <c r="I62" s="727"/>
      <c r="J62" s="35"/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13"/>
      <c r="B63" s="743"/>
      <c r="C63" s="13"/>
      <c r="D63" s="725" t="s">
        <v>1511</v>
      </c>
      <c r="E63" s="726"/>
      <c r="F63" s="726"/>
      <c r="G63" s="726"/>
      <c r="H63" s="726"/>
      <c r="I63" s="727"/>
      <c r="J63" s="35"/>
      <c r="K63" s="8"/>
      <c r="L63" s="10"/>
      <c r="M63" s="10"/>
      <c r="N63" s="10"/>
      <c r="O63" s="10"/>
      <c r="P63" s="10"/>
      <c r="Q63" s="10"/>
    </row>
    <row r="64" spans="1:17" ht="20.100000000000001" customHeight="1" thickBot="1" x14ac:dyDescent="0.35">
      <c r="A64" s="13"/>
      <c r="B64" s="746"/>
      <c r="C64" s="25"/>
      <c r="D64" s="761"/>
      <c r="E64" s="762"/>
      <c r="F64" s="762"/>
      <c r="G64" s="762"/>
      <c r="H64" s="762"/>
      <c r="I64" s="763"/>
      <c r="J64" s="37"/>
      <c r="K64" s="8"/>
      <c r="L64" s="10"/>
      <c r="M64" s="10"/>
      <c r="N64" s="10"/>
      <c r="O64" s="10"/>
      <c r="P64" s="10"/>
      <c r="Q64" s="10"/>
    </row>
    <row r="65" spans="1:17" ht="20.100000000000001" customHeight="1" x14ac:dyDescent="0.3">
      <c r="A65" s="13"/>
      <c r="B65" s="23" t="s">
        <v>12</v>
      </c>
      <c r="C65" s="17"/>
      <c r="D65" s="17"/>
      <c r="E65" s="17"/>
      <c r="F65" s="17"/>
      <c r="G65" s="17"/>
      <c r="H65" s="17"/>
      <c r="I65" s="17"/>
      <c r="J65" s="17"/>
      <c r="K65" s="8"/>
      <c r="L65" s="10"/>
      <c r="M65" s="10"/>
      <c r="N65" s="10"/>
      <c r="O65" s="10"/>
      <c r="P65" s="10"/>
      <c r="Q65" s="10"/>
    </row>
    <row r="66" spans="1:17" ht="6" customHeight="1" x14ac:dyDescent="0.3">
      <c r="A66" s="13"/>
      <c r="B66" s="17"/>
      <c r="C66" s="17"/>
      <c r="D66" s="17"/>
      <c r="E66" s="17"/>
      <c r="F66" s="17"/>
      <c r="G66" s="17"/>
      <c r="H66" s="17"/>
      <c r="I66" s="17"/>
      <c r="J66" s="17"/>
      <c r="K66" s="8"/>
      <c r="L66" s="10"/>
      <c r="M66" s="10"/>
      <c r="N66" s="10"/>
      <c r="O66" s="10"/>
      <c r="P66" s="10"/>
      <c r="Q66" s="10"/>
    </row>
    <row r="67" spans="1:17" ht="18.75" customHeight="1" thickBot="1" x14ac:dyDescent="0.35">
      <c r="B67" s="1" t="s">
        <v>7</v>
      </c>
      <c r="C67" s="17"/>
      <c r="D67" s="17"/>
      <c r="E67" s="17"/>
      <c r="F67" s="17"/>
      <c r="G67" s="17"/>
      <c r="H67" s="17"/>
      <c r="I67" s="17"/>
      <c r="J67" s="18"/>
      <c r="K67" s="8"/>
      <c r="L67" s="10"/>
      <c r="M67" s="10"/>
      <c r="N67" s="10"/>
      <c r="O67" s="10"/>
      <c r="P67" s="10"/>
      <c r="Q67" s="10"/>
    </row>
    <row r="68" spans="1:17" ht="20.100000000000001" customHeight="1" x14ac:dyDescent="0.3">
      <c r="A68" s="38"/>
      <c r="B68" s="764" t="s">
        <v>1458</v>
      </c>
      <c r="C68" s="765"/>
      <c r="D68" s="765"/>
      <c r="E68" s="765"/>
      <c r="F68" s="765"/>
      <c r="G68" s="765"/>
      <c r="H68" s="765"/>
      <c r="I68" s="765"/>
      <c r="J68" s="766"/>
      <c r="K68" s="39"/>
      <c r="L68" s="10"/>
      <c r="M68" s="10" t="s">
        <v>1518</v>
      </c>
      <c r="N68" s="10"/>
      <c r="O68" s="10"/>
      <c r="P68" s="10"/>
      <c r="Q68" s="10"/>
    </row>
    <row r="69" spans="1:17" ht="20.100000000000001" customHeight="1" x14ac:dyDescent="0.3">
      <c r="A69" s="38"/>
      <c r="B69" s="767"/>
      <c r="C69" s="768"/>
      <c r="D69" s="768"/>
      <c r="E69" s="768"/>
      <c r="F69" s="768"/>
      <c r="G69" s="768"/>
      <c r="H69" s="768"/>
      <c r="I69" s="768"/>
      <c r="J69" s="769"/>
      <c r="K69" s="39"/>
      <c r="L69" s="10"/>
      <c r="M69" s="10"/>
      <c r="N69" s="10"/>
      <c r="O69" s="10"/>
      <c r="P69" s="10"/>
      <c r="Q69" s="10"/>
    </row>
    <row r="70" spans="1:17" ht="20.100000000000001" customHeight="1" x14ac:dyDescent="0.3">
      <c r="A70" s="38"/>
      <c r="B70" s="755"/>
      <c r="C70" s="756"/>
      <c r="D70" s="756"/>
      <c r="E70" s="756"/>
      <c r="F70" s="756"/>
      <c r="G70" s="756"/>
      <c r="H70" s="756"/>
      <c r="I70" s="756"/>
      <c r="J70" s="757"/>
      <c r="K70" s="39"/>
      <c r="L70" s="10"/>
      <c r="M70" s="10"/>
      <c r="N70" s="10"/>
      <c r="O70" s="10"/>
      <c r="P70" s="10"/>
      <c r="Q70" s="10"/>
    </row>
    <row r="71" spans="1:17" ht="20.100000000000001" customHeight="1" x14ac:dyDescent="0.3">
      <c r="A71" s="38"/>
      <c r="B71" s="755"/>
      <c r="C71" s="756"/>
      <c r="D71" s="756"/>
      <c r="E71" s="756"/>
      <c r="F71" s="756"/>
      <c r="G71" s="756"/>
      <c r="H71" s="756"/>
      <c r="I71" s="756"/>
      <c r="J71" s="757"/>
      <c r="K71" s="39"/>
      <c r="L71" s="10"/>
      <c r="M71" s="10"/>
      <c r="N71" s="10"/>
      <c r="O71" s="10"/>
      <c r="P71" s="10"/>
      <c r="Q71" s="10"/>
    </row>
    <row r="72" spans="1:17" ht="20.100000000000001" customHeight="1" x14ac:dyDescent="0.3">
      <c r="A72" s="38"/>
      <c r="B72" s="755"/>
      <c r="C72" s="756"/>
      <c r="D72" s="756"/>
      <c r="E72" s="756"/>
      <c r="F72" s="756"/>
      <c r="G72" s="756"/>
      <c r="H72" s="756"/>
      <c r="I72" s="756"/>
      <c r="J72" s="757"/>
      <c r="K72" s="38"/>
    </row>
    <row r="73" spans="1:17" ht="20.100000000000001" customHeight="1" thickBot="1" x14ac:dyDescent="0.35">
      <c r="A73" s="38"/>
      <c r="B73" s="758"/>
      <c r="C73" s="759"/>
      <c r="D73" s="759"/>
      <c r="E73" s="759"/>
      <c r="F73" s="759"/>
      <c r="G73" s="759"/>
      <c r="H73" s="759"/>
      <c r="I73" s="759"/>
      <c r="J73" s="760"/>
      <c r="K73" s="38"/>
    </row>
    <row r="74" spans="1:17" ht="5.25" customHeight="1" x14ac:dyDescent="0.3">
      <c r="B74" s="11"/>
      <c r="C74" s="11"/>
      <c r="D74" s="11"/>
      <c r="E74" s="11"/>
      <c r="F74" s="11"/>
      <c r="G74" s="11"/>
      <c r="H74" s="11"/>
      <c r="I74" s="11"/>
      <c r="J74" s="11"/>
    </row>
    <row r="75" spans="1:17" ht="24.95" customHeight="1" x14ac:dyDescent="0.3">
      <c r="B75" s="12"/>
      <c r="C75" s="12"/>
      <c r="D75" s="12"/>
      <c r="E75" s="12"/>
      <c r="F75" s="12"/>
      <c r="G75" s="12"/>
      <c r="H75" s="12"/>
      <c r="I75" s="12"/>
      <c r="J75" s="12"/>
    </row>
    <row r="76" spans="1:17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1:17" ht="24.95" customHeight="1" x14ac:dyDescent="0.3">
      <c r="B77" s="13"/>
      <c r="C77" s="770"/>
      <c r="D77" s="770"/>
      <c r="E77" s="770"/>
      <c r="F77" s="770"/>
      <c r="G77" s="770"/>
      <c r="H77" s="770"/>
      <c r="I77" s="13"/>
      <c r="J77" s="13"/>
    </row>
    <row r="78" spans="1:17" ht="24.95" customHeight="1" x14ac:dyDescent="0.3">
      <c r="B78" s="13"/>
      <c r="C78" s="14"/>
      <c r="D78" s="14"/>
      <c r="E78" s="14"/>
      <c r="F78" s="14"/>
      <c r="G78" s="14"/>
      <c r="H78" s="14"/>
      <c r="I78" s="13"/>
      <c r="J78" s="13"/>
    </row>
    <row r="79" spans="1:17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1:17" ht="24.95" customHeight="1" x14ac:dyDescent="0.3">
      <c r="B80" s="13"/>
      <c r="C80" s="770"/>
      <c r="D80" s="770"/>
      <c r="E80" s="770"/>
      <c r="F80" s="770"/>
      <c r="G80" s="770"/>
      <c r="H80" s="770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ht="24.95" customHeight="1" x14ac:dyDescent="0.3">
      <c r="B82" s="13"/>
      <c r="C82" s="13"/>
      <c r="D82" s="13"/>
      <c r="E82" s="14"/>
      <c r="F82" s="14"/>
      <c r="G82" s="14"/>
      <c r="H82" s="14"/>
      <c r="I82" s="14"/>
      <c r="J82" s="14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ht="24.95" customHeight="1" x14ac:dyDescent="0.3">
      <c r="B84" s="13"/>
      <c r="C84" s="13"/>
      <c r="D84" s="14"/>
      <c r="E84" s="14"/>
      <c r="F84" s="14"/>
      <c r="G84" s="14"/>
      <c r="H84" s="14"/>
      <c r="I84" s="14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ht="24.95" customHeight="1" x14ac:dyDescent="0.3">
      <c r="B86" s="13"/>
      <c r="C86" s="13"/>
      <c r="D86" s="14"/>
      <c r="E86" s="14"/>
      <c r="F86" s="14"/>
      <c r="G86" s="14"/>
      <c r="H86" s="14"/>
      <c r="I86" s="14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  <row r="100" spans="2:10" x14ac:dyDescent="0.3"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2:10" x14ac:dyDescent="0.3"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2:10" x14ac:dyDescent="0.3"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2:10" x14ac:dyDescent="0.3"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2:10" x14ac:dyDescent="0.3">
      <c r="B104" s="13"/>
      <c r="C104" s="13"/>
      <c r="D104" s="13"/>
      <c r="E104" s="13"/>
      <c r="F104" s="13"/>
      <c r="G104" s="13"/>
      <c r="H104" s="13"/>
      <c r="I104" s="13"/>
      <c r="J104" s="13"/>
    </row>
  </sheetData>
  <mergeCells count="68">
    <mergeCell ref="B18:J18"/>
    <mergeCell ref="B19:J19"/>
    <mergeCell ref="B20:J20"/>
    <mergeCell ref="D26:I26"/>
    <mergeCell ref="D27:I27"/>
    <mergeCell ref="B21:J21"/>
    <mergeCell ref="B24:J24"/>
    <mergeCell ref="B26:B45"/>
    <mergeCell ref="D28:I28"/>
    <mergeCell ref="D29:I29"/>
    <mergeCell ref="D30:I30"/>
    <mergeCell ref="D31:I31"/>
    <mergeCell ref="D32:I32"/>
    <mergeCell ref="D35:I35"/>
    <mergeCell ref="D41:I41"/>
    <mergeCell ref="D33:I33"/>
    <mergeCell ref="B2:J2"/>
    <mergeCell ref="B3:H3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46:B64"/>
    <mergeCell ref="D46:I46"/>
    <mergeCell ref="D34:I34"/>
    <mergeCell ref="D47:I47"/>
    <mergeCell ref="D40:I40"/>
    <mergeCell ref="D42:I42"/>
    <mergeCell ref="D43:I43"/>
    <mergeCell ref="D44:I44"/>
    <mergeCell ref="D45:I45"/>
    <mergeCell ref="D36:I36"/>
    <mergeCell ref="D37:I37"/>
    <mergeCell ref="D38:I38"/>
    <mergeCell ref="D64:I64"/>
    <mergeCell ref="D48:I48"/>
    <mergeCell ref="D49:I49"/>
    <mergeCell ref="D57:I57"/>
    <mergeCell ref="D58:I58"/>
    <mergeCell ref="D59:I59"/>
    <mergeCell ref="D60:I60"/>
    <mergeCell ref="D61:I61"/>
    <mergeCell ref="D50:I50"/>
    <mergeCell ref="D54:I54"/>
    <mergeCell ref="D62:I62"/>
    <mergeCell ref="D63:I63"/>
    <mergeCell ref="D56:I56"/>
    <mergeCell ref="C80:H80"/>
    <mergeCell ref="B68:J68"/>
    <mergeCell ref="B69:J69"/>
    <mergeCell ref="B70:J70"/>
    <mergeCell ref="B71:J71"/>
    <mergeCell ref="B72:J72"/>
    <mergeCell ref="B73:J73"/>
    <mergeCell ref="C77:H77"/>
    <mergeCell ref="D39:I39"/>
    <mergeCell ref="D51:I51"/>
    <mergeCell ref="D52:I52"/>
    <mergeCell ref="D53:I53"/>
    <mergeCell ref="D55:I55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1"/>
  <dimension ref="A1:Q99"/>
  <sheetViews>
    <sheetView showGridLines="0" tabSelected="1" view="pageBreakPreview" topLeftCell="A28" zoomScale="85" zoomScaleNormal="100" zoomScaleSheetLayoutView="85" workbookViewId="0">
      <selection activeCell="D53" sqref="D53:I53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'17'!B3+1</f>
        <v>46283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 t="s">
        <v>1528</v>
      </c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 t="s">
        <v>1529</v>
      </c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1" t="s">
        <v>1530</v>
      </c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731" t="s">
        <v>1531</v>
      </c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 t="s">
        <v>1532</v>
      </c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 t="s">
        <v>1533</v>
      </c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0" ht="20.100000000000001" customHeight="1" x14ac:dyDescent="0.3">
      <c r="B13" s="731" t="s">
        <v>1534</v>
      </c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34" t="s">
        <v>1535</v>
      </c>
      <c r="C14" s="735"/>
      <c r="D14" s="735"/>
      <c r="E14" s="735"/>
      <c r="F14" s="735"/>
      <c r="G14" s="735"/>
      <c r="H14" s="735"/>
      <c r="I14" s="735"/>
      <c r="J14" s="736"/>
    </row>
    <row r="15" spans="2:10" ht="20.100000000000001" customHeight="1" x14ac:dyDescent="0.3">
      <c r="B15" s="734" t="s">
        <v>1527</v>
      </c>
      <c r="C15" s="735"/>
      <c r="D15" s="735"/>
      <c r="E15" s="735"/>
      <c r="F15" s="735"/>
      <c r="G15" s="735"/>
      <c r="H15" s="735"/>
      <c r="I15" s="735"/>
      <c r="J15" s="736"/>
    </row>
    <row r="16" spans="2:10" ht="20.100000000000001" customHeight="1" x14ac:dyDescent="0.3">
      <c r="B16" s="734" t="s">
        <v>1536</v>
      </c>
      <c r="C16" s="735"/>
      <c r="D16" s="735"/>
      <c r="E16" s="735"/>
      <c r="F16" s="735"/>
      <c r="G16" s="735"/>
      <c r="H16" s="735"/>
      <c r="I16" s="735"/>
      <c r="J16" s="736"/>
    </row>
    <row r="17" spans="2:12" ht="20.100000000000001" customHeight="1" x14ac:dyDescent="0.3">
      <c r="B17" s="734" t="s">
        <v>1537</v>
      </c>
      <c r="C17" s="735"/>
      <c r="D17" s="735"/>
      <c r="E17" s="735"/>
      <c r="F17" s="735"/>
      <c r="G17" s="735"/>
      <c r="H17" s="735"/>
      <c r="I17" s="735"/>
      <c r="J17" s="736"/>
    </row>
    <row r="18" spans="2:12" ht="20.100000000000001" customHeight="1" x14ac:dyDescent="0.3">
      <c r="B18" s="731"/>
      <c r="C18" s="732"/>
      <c r="D18" s="732"/>
      <c r="E18" s="732"/>
      <c r="F18" s="732"/>
      <c r="G18" s="732"/>
      <c r="H18" s="732"/>
      <c r="I18" s="732"/>
      <c r="J18" s="733"/>
    </row>
    <row r="19" spans="2:12" ht="20.100000000000001" customHeight="1" x14ac:dyDescent="0.3">
      <c r="B19" s="731"/>
      <c r="C19" s="732"/>
      <c r="D19" s="732"/>
      <c r="E19" s="732"/>
      <c r="F19" s="732"/>
      <c r="G19" s="732"/>
      <c r="H19" s="732"/>
      <c r="I19" s="732"/>
      <c r="J19" s="733"/>
    </row>
    <row r="20" spans="2:12" ht="7.5" customHeight="1" thickBot="1" x14ac:dyDescent="0.35">
      <c r="B20" s="737"/>
      <c r="C20" s="738"/>
      <c r="D20" s="738"/>
      <c r="E20" s="738"/>
      <c r="F20" s="738"/>
      <c r="G20" s="738"/>
      <c r="H20" s="738"/>
      <c r="I20" s="738"/>
      <c r="J20" s="739"/>
    </row>
    <row r="21" spans="2:12" ht="21.75" customHeight="1" x14ac:dyDescent="0.3">
      <c r="B21" s="16"/>
      <c r="C21" s="16"/>
      <c r="D21" s="16"/>
      <c r="E21" s="16"/>
      <c r="F21" s="16"/>
      <c r="G21" s="16"/>
      <c r="H21" s="16"/>
      <c r="I21" s="16"/>
      <c r="J21" s="16"/>
    </row>
    <row r="22" spans="2:12" ht="23.1" customHeight="1" thickBot="1" x14ac:dyDescent="0.35">
      <c r="B22" s="1" t="s">
        <v>1</v>
      </c>
      <c r="I22" s="2"/>
      <c r="J22" s="24" t="s">
        <v>9</v>
      </c>
    </row>
    <row r="23" spans="2:12" ht="24.95" customHeight="1" thickBot="1" x14ac:dyDescent="0.35">
      <c r="B23" s="809" t="s">
        <v>10</v>
      </c>
      <c r="C23" s="810"/>
      <c r="D23" s="810"/>
      <c r="E23" s="810"/>
      <c r="F23" s="810"/>
      <c r="G23" s="810"/>
      <c r="H23" s="810"/>
      <c r="I23" s="810"/>
      <c r="J23" s="811"/>
      <c r="K23" s="8"/>
    </row>
    <row r="24" spans="2:12" ht="20.100000000000001" customHeight="1" x14ac:dyDescent="0.3">
      <c r="B24" s="3" t="s">
        <v>0</v>
      </c>
      <c r="C24" s="31" t="s">
        <v>11</v>
      </c>
      <c r="D24" s="806" t="s">
        <v>5</v>
      </c>
      <c r="E24" s="807"/>
      <c r="F24" s="807"/>
      <c r="G24" s="807"/>
      <c r="H24" s="807"/>
      <c r="I24" s="808"/>
      <c r="J24" s="32" t="s">
        <v>4</v>
      </c>
      <c r="K24" s="8"/>
    </row>
    <row r="25" spans="2:12" ht="20.100000000000001" customHeight="1" x14ac:dyDescent="0.3">
      <c r="B25" s="743" t="s">
        <v>2</v>
      </c>
      <c r="C25" s="29"/>
      <c r="D25" s="752"/>
      <c r="E25" s="753"/>
      <c r="F25" s="753"/>
      <c r="G25" s="753"/>
      <c r="H25" s="753"/>
      <c r="I25" s="754"/>
      <c r="J25" s="33"/>
      <c r="K25" s="8"/>
    </row>
    <row r="26" spans="2:12" ht="20.100000000000001" customHeight="1" x14ac:dyDescent="0.3">
      <c r="B26" s="743"/>
      <c r="C26" s="22" t="s">
        <v>65</v>
      </c>
      <c r="D26" s="750"/>
      <c r="E26" s="726"/>
      <c r="F26" s="726"/>
      <c r="G26" s="726"/>
      <c r="H26" s="726"/>
      <c r="I26" s="727"/>
      <c r="J26" s="34"/>
      <c r="K26" s="8"/>
    </row>
    <row r="27" spans="2:12" ht="20.100000000000001" customHeight="1" x14ac:dyDescent="0.3">
      <c r="B27" s="743"/>
      <c r="C27" s="21" t="s">
        <v>243</v>
      </c>
      <c r="D27" s="725"/>
      <c r="E27" s="726"/>
      <c r="F27" s="726"/>
      <c r="G27" s="726"/>
      <c r="H27" s="726"/>
      <c r="I27" s="727"/>
      <c r="J27" s="35"/>
      <c r="K27" s="8"/>
    </row>
    <row r="28" spans="2:12" ht="20.100000000000001" customHeight="1" x14ac:dyDescent="0.3">
      <c r="B28" s="743"/>
      <c r="C28" s="67"/>
      <c r="D28" s="751"/>
      <c r="E28" s="748"/>
      <c r="F28" s="748"/>
      <c r="G28" s="748"/>
      <c r="H28" s="748"/>
      <c r="I28" s="749"/>
      <c r="J28" s="36"/>
      <c r="K28" s="8"/>
    </row>
    <row r="29" spans="2:12" ht="20.100000000000001" customHeight="1" x14ac:dyDescent="0.3">
      <c r="B29" s="743"/>
      <c r="C29" s="29"/>
      <c r="D29" s="752"/>
      <c r="E29" s="753"/>
      <c r="F29" s="753"/>
      <c r="G29" s="753"/>
      <c r="H29" s="753"/>
      <c r="I29" s="754"/>
      <c r="J29" s="33"/>
      <c r="K29" s="8"/>
    </row>
    <row r="30" spans="2:12" ht="20.100000000000001" customHeight="1" x14ac:dyDescent="0.3">
      <c r="B30" s="743"/>
      <c r="C30" s="22" t="s">
        <v>47</v>
      </c>
      <c r="D30" s="750"/>
      <c r="E30" s="726"/>
      <c r="F30" s="726"/>
      <c r="G30" s="726"/>
      <c r="H30" s="726"/>
      <c r="I30" s="727"/>
      <c r="J30" s="34"/>
      <c r="K30" s="8"/>
    </row>
    <row r="31" spans="2:12" ht="20.100000000000001" customHeight="1" x14ac:dyDescent="0.3">
      <c r="B31" s="743"/>
      <c r="C31" s="21" t="s">
        <v>375</v>
      </c>
      <c r="D31" s="725"/>
      <c r="E31" s="726"/>
      <c r="F31" s="726"/>
      <c r="G31" s="726"/>
      <c r="H31" s="726"/>
      <c r="I31" s="727"/>
      <c r="J31" s="35"/>
      <c r="K31" s="8"/>
    </row>
    <row r="32" spans="2:12" ht="20.100000000000001" customHeight="1" x14ac:dyDescent="0.3">
      <c r="B32" s="743"/>
      <c r="C32" s="21"/>
      <c r="D32" s="751"/>
      <c r="E32" s="748"/>
      <c r="F32" s="748"/>
      <c r="G32" s="748"/>
      <c r="H32" s="748"/>
      <c r="I32" s="749"/>
      <c r="J32" s="35"/>
      <c r="K32" s="8"/>
      <c r="L32" s="9"/>
    </row>
    <row r="33" spans="2:13" ht="20.100000000000001" customHeight="1" x14ac:dyDescent="0.3">
      <c r="B33" s="743"/>
      <c r="C33" s="29"/>
      <c r="D33" s="752"/>
      <c r="E33" s="753"/>
      <c r="F33" s="753"/>
      <c r="G33" s="753"/>
      <c r="H33" s="753"/>
      <c r="I33" s="754"/>
      <c r="J33" s="33"/>
      <c r="K33" s="8"/>
      <c r="L33" s="9"/>
      <c r="M33" s="9"/>
    </row>
    <row r="34" spans="2:13" ht="20.100000000000001" customHeight="1" x14ac:dyDescent="0.3">
      <c r="B34" s="743"/>
      <c r="C34" s="22" t="s">
        <v>48</v>
      </c>
      <c r="D34" s="750"/>
      <c r="E34" s="726"/>
      <c r="F34" s="726"/>
      <c r="G34" s="726"/>
      <c r="H34" s="726"/>
      <c r="I34" s="727"/>
      <c r="J34" s="34"/>
      <c r="K34" s="8"/>
      <c r="L34" s="9"/>
      <c r="M34" s="9"/>
    </row>
    <row r="35" spans="2:13" ht="20.100000000000001" customHeight="1" x14ac:dyDescent="0.3">
      <c r="B35" s="743"/>
      <c r="C35" s="21" t="s">
        <v>66</v>
      </c>
      <c r="D35" s="725"/>
      <c r="E35" s="726"/>
      <c r="F35" s="726"/>
      <c r="G35" s="726"/>
      <c r="H35" s="726"/>
      <c r="I35" s="727"/>
      <c r="J35" s="35"/>
      <c r="K35" s="8"/>
      <c r="L35" s="9"/>
      <c r="M35" s="9"/>
    </row>
    <row r="36" spans="2:13" ht="20.100000000000001" customHeight="1" x14ac:dyDescent="0.3">
      <c r="B36" s="743"/>
      <c r="C36" s="67"/>
      <c r="D36" s="751"/>
      <c r="E36" s="748"/>
      <c r="F36" s="748"/>
      <c r="G36" s="748"/>
      <c r="H36" s="748"/>
      <c r="I36" s="749"/>
      <c r="J36" s="35"/>
      <c r="K36" s="8"/>
    </row>
    <row r="37" spans="2:13" ht="20.100000000000001" customHeight="1" x14ac:dyDescent="0.3">
      <c r="B37" s="743"/>
      <c r="C37" s="29"/>
      <c r="D37" s="752"/>
      <c r="E37" s="753"/>
      <c r="F37" s="753"/>
      <c r="G37" s="753"/>
      <c r="H37" s="753"/>
      <c r="I37" s="754"/>
      <c r="J37" s="33"/>
      <c r="K37" s="8"/>
    </row>
    <row r="38" spans="2:13" ht="20.100000000000001" customHeight="1" x14ac:dyDescent="0.3">
      <c r="B38" s="743"/>
      <c r="C38" s="22" t="s">
        <v>1083</v>
      </c>
      <c r="D38" s="750"/>
      <c r="E38" s="726"/>
      <c r="F38" s="726"/>
      <c r="G38" s="726"/>
      <c r="H38" s="726"/>
      <c r="I38" s="727"/>
      <c r="J38" s="34"/>
      <c r="K38" s="8"/>
    </row>
    <row r="39" spans="2:13" ht="20.100000000000001" customHeight="1" x14ac:dyDescent="0.3">
      <c r="B39" s="743"/>
      <c r="C39" s="21" t="s">
        <v>951</v>
      </c>
      <c r="D39" s="725"/>
      <c r="E39" s="726"/>
      <c r="F39" s="726"/>
      <c r="G39" s="726"/>
      <c r="H39" s="726"/>
      <c r="I39" s="727"/>
      <c r="J39" s="35"/>
      <c r="K39" s="8"/>
    </row>
    <row r="40" spans="2:13" ht="20.100000000000001" customHeight="1" x14ac:dyDescent="0.3">
      <c r="B40" s="743"/>
      <c r="C40" s="67"/>
      <c r="D40" s="751"/>
      <c r="E40" s="748"/>
      <c r="F40" s="748"/>
      <c r="G40" s="748"/>
      <c r="H40" s="748"/>
      <c r="I40" s="749"/>
      <c r="J40" s="35"/>
      <c r="K40" s="8"/>
    </row>
    <row r="41" spans="2:13" ht="20.100000000000001" customHeight="1" x14ac:dyDescent="0.3">
      <c r="B41" s="743"/>
      <c r="C41" s="29"/>
      <c r="D41" s="752"/>
      <c r="E41" s="753"/>
      <c r="F41" s="753"/>
      <c r="G41" s="753"/>
      <c r="H41" s="753"/>
      <c r="I41" s="754"/>
      <c r="J41" s="33"/>
      <c r="K41" s="8"/>
    </row>
    <row r="42" spans="2:13" ht="20.100000000000001" customHeight="1" x14ac:dyDescent="0.3">
      <c r="B42" s="743"/>
      <c r="C42" s="69" t="s">
        <v>49</v>
      </c>
      <c r="D42" s="750"/>
      <c r="E42" s="726"/>
      <c r="F42" s="726"/>
      <c r="G42" s="726"/>
      <c r="H42" s="726"/>
      <c r="I42" s="727"/>
      <c r="J42" s="34"/>
      <c r="K42" s="8"/>
    </row>
    <row r="43" spans="2:13" ht="20.100000000000001" customHeight="1" x14ac:dyDescent="0.3">
      <c r="B43" s="743"/>
      <c r="C43" s="21"/>
      <c r="D43" s="725"/>
      <c r="E43" s="726"/>
      <c r="F43" s="726"/>
      <c r="G43" s="726"/>
      <c r="H43" s="726"/>
      <c r="I43" s="727"/>
      <c r="J43" s="35"/>
      <c r="K43" s="8"/>
    </row>
    <row r="44" spans="2:13" ht="20.100000000000001" customHeight="1" x14ac:dyDescent="0.3">
      <c r="B44" s="744"/>
      <c r="C44" s="67"/>
      <c r="D44" s="751"/>
      <c r="E44" s="748"/>
      <c r="F44" s="748"/>
      <c r="G44" s="748"/>
      <c r="H44" s="748"/>
      <c r="I44" s="749"/>
      <c r="J44" s="35"/>
      <c r="K44" s="8"/>
    </row>
    <row r="45" spans="2:13" ht="20.100000000000001" customHeight="1" x14ac:dyDescent="0.3">
      <c r="B45" s="745" t="s">
        <v>50</v>
      </c>
      <c r="C45" s="68" t="s">
        <v>3</v>
      </c>
      <c r="D45" s="752" t="s">
        <v>1519</v>
      </c>
      <c r="E45" s="753"/>
      <c r="F45" s="753"/>
      <c r="G45" s="753"/>
      <c r="H45" s="753"/>
      <c r="I45" s="754"/>
      <c r="J45" s="33" t="s">
        <v>1520</v>
      </c>
      <c r="K45" s="8"/>
    </row>
    <row r="46" spans="2:13" ht="20.100000000000001" customHeight="1" x14ac:dyDescent="0.3">
      <c r="B46" s="743"/>
      <c r="C46" s="20">
        <v>2</v>
      </c>
      <c r="D46" s="750" t="s">
        <v>1521</v>
      </c>
      <c r="E46" s="726"/>
      <c r="F46" s="726"/>
      <c r="G46" s="726"/>
      <c r="H46" s="726"/>
      <c r="I46" s="727"/>
      <c r="J46" s="34"/>
      <c r="K46" s="8"/>
    </row>
    <row r="47" spans="2:13" ht="20.100000000000001" customHeight="1" x14ac:dyDescent="0.3">
      <c r="B47" s="743"/>
      <c r="C47" s="21" t="str">
        <f>IF(C46=1,"[조용환+]",IF(C46=2,"[한만석+]",IF(C46=3,"[남정현+]",IF(C46=4,"[김광표+]","???"))))</f>
        <v>[한만석+]</v>
      </c>
      <c r="D47" s="725" t="s">
        <v>1522</v>
      </c>
      <c r="E47" s="726"/>
      <c r="F47" s="726"/>
      <c r="G47" s="726"/>
      <c r="H47" s="726"/>
      <c r="I47" s="727"/>
      <c r="J47" s="35"/>
      <c r="K47" s="8"/>
    </row>
    <row r="48" spans="2:13" ht="20.100000000000001" customHeight="1" x14ac:dyDescent="0.3">
      <c r="B48" s="743"/>
      <c r="C48" s="13"/>
      <c r="D48" s="725" t="s">
        <v>1523</v>
      </c>
      <c r="E48" s="726"/>
      <c r="F48" s="726"/>
      <c r="G48" s="726"/>
      <c r="H48" s="726"/>
      <c r="I48" s="727"/>
      <c r="J48" s="35"/>
      <c r="K48" s="8"/>
    </row>
    <row r="49" spans="1:17" ht="20.100000000000001" customHeight="1" x14ac:dyDescent="0.3">
      <c r="A49" s="13"/>
      <c r="B49" s="743"/>
      <c r="C49" s="13"/>
      <c r="D49" s="725" t="s">
        <v>1524</v>
      </c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 t="s">
        <v>1525</v>
      </c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x14ac:dyDescent="0.3">
      <c r="A51" s="13"/>
      <c r="B51" s="743"/>
      <c r="C51" s="13"/>
      <c r="D51" s="725" t="s">
        <v>1526</v>
      </c>
      <c r="E51" s="786"/>
      <c r="F51" s="786"/>
      <c r="G51" s="786"/>
      <c r="H51" s="786"/>
      <c r="I51" s="787"/>
      <c r="J51" s="35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9"/>
      <c r="D52" s="747"/>
      <c r="E52" s="748"/>
      <c r="F52" s="748"/>
      <c r="G52" s="748"/>
      <c r="H52" s="748"/>
      <c r="I52" s="749"/>
      <c r="J52" s="36"/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22" t="s">
        <v>8</v>
      </c>
      <c r="D53" s="752"/>
      <c r="E53" s="753"/>
      <c r="F53" s="753"/>
      <c r="G53" s="753"/>
      <c r="H53" s="753"/>
      <c r="I53" s="754"/>
      <c r="J53" s="33"/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20">
        <v>1</v>
      </c>
      <c r="D54" s="750"/>
      <c r="E54" s="726"/>
      <c r="F54" s="726"/>
      <c r="G54" s="726"/>
      <c r="H54" s="726"/>
      <c r="I54" s="727"/>
      <c r="J54" s="34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13"/>
      <c r="B55" s="743"/>
      <c r="C55" s="21" t="str">
        <f>IF(C54=1,"[조용환+]",IF(C54=2,"[한만석+]",IF(C54=3,"[남정현+]",IF(C54=4,"[김광표+]","???"))))</f>
        <v>[조용환+]</v>
      </c>
      <c r="D55" s="725"/>
      <c r="E55" s="726"/>
      <c r="F55" s="726"/>
      <c r="G55" s="726"/>
      <c r="H55" s="726"/>
      <c r="I55" s="727"/>
      <c r="J55" s="35"/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743"/>
      <c r="C56" s="13"/>
      <c r="D56" s="725"/>
      <c r="E56" s="726"/>
      <c r="F56" s="726"/>
      <c r="G56" s="726"/>
      <c r="H56" s="726"/>
      <c r="I56" s="727"/>
      <c r="J56" s="35"/>
      <c r="K56" s="8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13"/>
      <c r="B57" s="743"/>
      <c r="C57" s="13"/>
      <c r="D57" s="725"/>
      <c r="E57" s="726"/>
      <c r="F57" s="726"/>
      <c r="G57" s="726"/>
      <c r="H57" s="726"/>
      <c r="I57" s="727"/>
      <c r="J57" s="35"/>
      <c r="K57" s="8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13"/>
      <c r="B58" s="743"/>
      <c r="C58" s="13"/>
      <c r="D58" s="725"/>
      <c r="E58" s="726"/>
      <c r="F58" s="726"/>
      <c r="G58" s="726"/>
      <c r="H58" s="726"/>
      <c r="I58" s="727"/>
      <c r="J58" s="35"/>
      <c r="K58" s="8"/>
      <c r="L58" s="10"/>
      <c r="M58" s="10"/>
      <c r="N58" s="10"/>
      <c r="O58" s="10"/>
      <c r="P58" s="10"/>
      <c r="Q58" s="10"/>
    </row>
    <row r="59" spans="1:17" ht="20.100000000000001" customHeight="1" thickBot="1" x14ac:dyDescent="0.35">
      <c r="A59" s="13"/>
      <c r="B59" s="746"/>
      <c r="C59" s="25"/>
      <c r="D59" s="761"/>
      <c r="E59" s="762"/>
      <c r="F59" s="762"/>
      <c r="G59" s="762"/>
      <c r="H59" s="762"/>
      <c r="I59" s="763"/>
      <c r="J59" s="37"/>
      <c r="K59" s="8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13"/>
      <c r="B60" s="23" t="s">
        <v>12</v>
      </c>
      <c r="C60" s="17"/>
      <c r="D60" s="17"/>
      <c r="E60" s="17"/>
      <c r="F60" s="17"/>
      <c r="G60" s="17"/>
      <c r="H60" s="17"/>
      <c r="I60" s="17"/>
      <c r="J60" s="17"/>
      <c r="K60" s="8"/>
      <c r="L60" s="10"/>
      <c r="M60" s="10"/>
      <c r="N60" s="10"/>
      <c r="O60" s="10"/>
      <c r="P60" s="10"/>
      <c r="Q60" s="10"/>
    </row>
    <row r="61" spans="1:17" ht="6" customHeight="1" x14ac:dyDescent="0.3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8"/>
      <c r="L61" s="10"/>
      <c r="M61" s="10"/>
      <c r="N61" s="10"/>
      <c r="O61" s="10"/>
      <c r="P61" s="10"/>
      <c r="Q61" s="10"/>
    </row>
    <row r="62" spans="1:17" ht="18.75" customHeight="1" thickBot="1" x14ac:dyDescent="0.35">
      <c r="B62" s="1" t="s">
        <v>7</v>
      </c>
      <c r="C62" s="17"/>
      <c r="D62" s="17"/>
      <c r="E62" s="17"/>
      <c r="F62" s="17"/>
      <c r="G62" s="17"/>
      <c r="H62" s="17"/>
      <c r="I62" s="17"/>
      <c r="J62" s="18"/>
      <c r="K62" s="8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38"/>
      <c r="B63" s="764" t="s">
        <v>1448</v>
      </c>
      <c r="C63" s="765"/>
      <c r="D63" s="765"/>
      <c r="E63" s="765"/>
      <c r="F63" s="765"/>
      <c r="G63" s="765"/>
      <c r="H63" s="765"/>
      <c r="I63" s="765"/>
      <c r="J63" s="766"/>
      <c r="K63" s="39"/>
      <c r="L63" s="10"/>
      <c r="M63" s="10"/>
      <c r="N63" s="10"/>
      <c r="O63" s="10"/>
      <c r="P63" s="10"/>
      <c r="Q63" s="10"/>
    </row>
    <row r="64" spans="1:17" ht="20.100000000000001" customHeight="1" x14ac:dyDescent="0.3">
      <c r="A64" s="38"/>
      <c r="B64" s="767" t="s">
        <v>1302</v>
      </c>
      <c r="C64" s="768"/>
      <c r="D64" s="768"/>
      <c r="E64" s="768"/>
      <c r="F64" s="768"/>
      <c r="G64" s="768"/>
      <c r="H64" s="768"/>
      <c r="I64" s="768"/>
      <c r="J64" s="769"/>
      <c r="K64" s="39"/>
      <c r="L64" s="10"/>
      <c r="M64" s="10" t="s">
        <v>1303</v>
      </c>
      <c r="N64" s="10"/>
      <c r="O64" s="10"/>
      <c r="P64" s="10"/>
      <c r="Q64" s="10"/>
    </row>
    <row r="65" spans="1:17" ht="20.100000000000001" customHeight="1" x14ac:dyDescent="0.3">
      <c r="A65" s="38"/>
      <c r="B65" s="755"/>
      <c r="C65" s="756"/>
      <c r="D65" s="756"/>
      <c r="E65" s="756"/>
      <c r="F65" s="756"/>
      <c r="G65" s="756"/>
      <c r="H65" s="756"/>
      <c r="I65" s="756"/>
      <c r="J65" s="757"/>
      <c r="K65" s="39"/>
      <c r="L65" s="10"/>
      <c r="M65" s="10"/>
      <c r="N65" s="10"/>
      <c r="O65" s="10"/>
      <c r="P65" s="10"/>
      <c r="Q65" s="10"/>
    </row>
    <row r="66" spans="1:17" ht="20.100000000000001" customHeight="1" x14ac:dyDescent="0.3">
      <c r="A66" s="38"/>
      <c r="B66" s="755"/>
      <c r="C66" s="756"/>
      <c r="D66" s="756"/>
      <c r="E66" s="756"/>
      <c r="F66" s="756"/>
      <c r="G66" s="756"/>
      <c r="H66" s="756"/>
      <c r="I66" s="756"/>
      <c r="J66" s="757"/>
      <c r="K66" s="39"/>
      <c r="L66" s="10"/>
      <c r="M66" s="10"/>
      <c r="N66" s="10"/>
      <c r="O66" s="10"/>
      <c r="P66" s="10"/>
      <c r="Q66" s="10"/>
    </row>
    <row r="67" spans="1:17" ht="20.100000000000001" customHeight="1" x14ac:dyDescent="0.3">
      <c r="A67" s="38"/>
      <c r="B67" s="755"/>
      <c r="C67" s="756"/>
      <c r="D67" s="756"/>
      <c r="E67" s="756"/>
      <c r="F67" s="756"/>
      <c r="G67" s="756"/>
      <c r="H67" s="756"/>
      <c r="I67" s="756"/>
      <c r="J67" s="757"/>
      <c r="K67" s="38"/>
    </row>
    <row r="68" spans="1:17" ht="20.100000000000001" customHeight="1" thickBot="1" x14ac:dyDescent="0.35">
      <c r="A68" s="38"/>
      <c r="B68" s="758"/>
      <c r="C68" s="759"/>
      <c r="D68" s="759"/>
      <c r="E68" s="759"/>
      <c r="F68" s="759"/>
      <c r="G68" s="759"/>
      <c r="H68" s="759"/>
      <c r="I68" s="759"/>
      <c r="J68" s="760"/>
      <c r="K68" s="38"/>
    </row>
    <row r="69" spans="1:17" ht="5.25" customHeight="1" x14ac:dyDescent="0.3">
      <c r="B69" s="11"/>
      <c r="C69" s="11"/>
      <c r="D69" s="11"/>
      <c r="E69" s="11"/>
      <c r="F69" s="11"/>
      <c r="G69" s="11"/>
      <c r="H69" s="11"/>
      <c r="I69" s="11"/>
      <c r="J69" s="11"/>
    </row>
    <row r="70" spans="1:17" ht="24.95" customHeight="1" x14ac:dyDescent="0.3">
      <c r="B70" s="12"/>
      <c r="C70" s="12"/>
      <c r="D70" s="12"/>
      <c r="E70" s="12"/>
      <c r="F70" s="12"/>
      <c r="G70" s="12"/>
      <c r="H70" s="12"/>
      <c r="I70" s="12"/>
      <c r="J70" s="12"/>
    </row>
    <row r="71" spans="1:17" x14ac:dyDescent="0.3">
      <c r="B71" s="13"/>
      <c r="C71" s="13"/>
      <c r="D71" s="13"/>
      <c r="E71" s="13"/>
      <c r="F71" s="13"/>
      <c r="G71" s="13"/>
      <c r="H71" s="13"/>
      <c r="I71" s="13"/>
      <c r="J71" s="13"/>
    </row>
    <row r="72" spans="1:17" ht="24.95" customHeight="1" x14ac:dyDescent="0.3">
      <c r="B72" s="13"/>
      <c r="C72" s="770"/>
      <c r="D72" s="770"/>
      <c r="E72" s="770"/>
      <c r="F72" s="770"/>
      <c r="G72" s="770"/>
      <c r="H72" s="770"/>
      <c r="I72" s="13"/>
      <c r="J72" s="13"/>
    </row>
    <row r="73" spans="1:17" ht="24.95" customHeight="1" x14ac:dyDescent="0.3">
      <c r="B73" s="13"/>
      <c r="C73" s="14"/>
      <c r="D73" s="14"/>
      <c r="E73" s="14"/>
      <c r="F73" s="14"/>
      <c r="G73" s="14"/>
      <c r="H73" s="14"/>
      <c r="I73" s="13"/>
      <c r="J73" s="13"/>
    </row>
    <row r="74" spans="1:17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1:17" ht="24.95" customHeight="1" x14ac:dyDescent="0.3">
      <c r="B75" s="13"/>
      <c r="C75" s="770"/>
      <c r="D75" s="770"/>
      <c r="E75" s="770"/>
      <c r="F75" s="770"/>
      <c r="G75" s="770"/>
      <c r="H75" s="770"/>
      <c r="I75" s="13"/>
      <c r="J75" s="13"/>
    </row>
    <row r="76" spans="1:17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1:17" ht="24.95" customHeight="1" x14ac:dyDescent="0.3">
      <c r="B77" s="13"/>
      <c r="C77" s="13"/>
      <c r="D77" s="13"/>
      <c r="E77" s="14"/>
      <c r="F77" s="14"/>
      <c r="G77" s="14"/>
      <c r="H77" s="14"/>
      <c r="I77" s="14"/>
      <c r="J77" s="14"/>
    </row>
    <row r="78" spans="1:17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1:17" ht="24.95" customHeight="1" x14ac:dyDescent="0.3">
      <c r="B79" s="13"/>
      <c r="C79" s="13"/>
      <c r="D79" s="14"/>
      <c r="E79" s="14"/>
      <c r="F79" s="14"/>
      <c r="G79" s="14"/>
      <c r="H79" s="14"/>
      <c r="I79" s="14"/>
      <c r="J79" s="13"/>
    </row>
    <row r="80" spans="1:17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ht="24.95" customHeight="1" x14ac:dyDescent="0.3">
      <c r="B81" s="13"/>
      <c r="C81" s="13"/>
      <c r="D81" s="14"/>
      <c r="E81" s="14"/>
      <c r="F81" s="14"/>
      <c r="G81" s="14"/>
      <c r="H81" s="14"/>
      <c r="I81" s="14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  <row r="96" spans="2:10" x14ac:dyDescent="0.3">
      <c r="B96" s="13"/>
      <c r="C96" s="13"/>
      <c r="D96" s="13"/>
      <c r="E96" s="13"/>
      <c r="F96" s="13"/>
      <c r="G96" s="13"/>
      <c r="H96" s="13"/>
      <c r="I96" s="13"/>
      <c r="J96" s="13"/>
    </row>
    <row r="97" spans="2:10" x14ac:dyDescent="0.3">
      <c r="B97" s="13"/>
      <c r="C97" s="13"/>
      <c r="D97" s="13"/>
      <c r="E97" s="13"/>
      <c r="F97" s="13"/>
      <c r="G97" s="13"/>
      <c r="H97" s="13"/>
      <c r="I97" s="13"/>
      <c r="J97" s="13"/>
    </row>
    <row r="98" spans="2:10" x14ac:dyDescent="0.3">
      <c r="B98" s="13"/>
      <c r="C98" s="13"/>
      <c r="D98" s="13"/>
      <c r="E98" s="13"/>
      <c r="F98" s="13"/>
      <c r="G98" s="13"/>
      <c r="H98" s="13"/>
      <c r="I98" s="13"/>
      <c r="J98" s="13"/>
    </row>
    <row r="99" spans="2:10" x14ac:dyDescent="0.3">
      <c r="B99" s="13"/>
      <c r="C99" s="13"/>
      <c r="D99" s="13"/>
      <c r="E99" s="13"/>
      <c r="F99" s="13"/>
      <c r="G99" s="13"/>
      <c r="H99" s="13"/>
      <c r="I99" s="13"/>
      <c r="J99" s="13"/>
    </row>
  </sheetData>
  <mergeCells count="63">
    <mergeCell ref="B6:J6"/>
    <mergeCell ref="B7:J7"/>
    <mergeCell ref="B8:J8"/>
    <mergeCell ref="B9:J9"/>
    <mergeCell ref="B10:J10"/>
    <mergeCell ref="B11:J11"/>
    <mergeCell ref="B12:J12"/>
    <mergeCell ref="B14:J14"/>
    <mergeCell ref="B15:J15"/>
    <mergeCell ref="B17:J17"/>
    <mergeCell ref="B18:J18"/>
    <mergeCell ref="B19:J19"/>
    <mergeCell ref="D25:I25"/>
    <mergeCell ref="D26:I26"/>
    <mergeCell ref="B20:J20"/>
    <mergeCell ref="B23:J23"/>
    <mergeCell ref="B25:B44"/>
    <mergeCell ref="D27:I27"/>
    <mergeCell ref="D28:I28"/>
    <mergeCell ref="D29:I29"/>
    <mergeCell ref="D30:I30"/>
    <mergeCell ref="D31:I31"/>
    <mergeCell ref="D34:I34"/>
    <mergeCell ref="D40:I40"/>
    <mergeCell ref="D32:I32"/>
    <mergeCell ref="B16:J16"/>
    <mergeCell ref="B2:J2"/>
    <mergeCell ref="B3:H3"/>
    <mergeCell ref="B13:J13"/>
    <mergeCell ref="B45:B59"/>
    <mergeCell ref="C72:H72"/>
    <mergeCell ref="D59:I59"/>
    <mergeCell ref="D47:I47"/>
    <mergeCell ref="D48:I48"/>
    <mergeCell ref="D52:I52"/>
    <mergeCell ref="D53:I53"/>
    <mergeCell ref="D45:I45"/>
    <mergeCell ref="D54:I54"/>
    <mergeCell ref="D55:I55"/>
    <mergeCell ref="D56:I56"/>
    <mergeCell ref="D49:I49"/>
    <mergeCell ref="D50:I50"/>
    <mergeCell ref="D57:I57"/>
    <mergeCell ref="D58:I58"/>
    <mergeCell ref="D51:I51"/>
    <mergeCell ref="C75:H75"/>
    <mergeCell ref="B63:J63"/>
    <mergeCell ref="B64:J64"/>
    <mergeCell ref="B65:J65"/>
    <mergeCell ref="B66:J66"/>
    <mergeCell ref="B67:J67"/>
    <mergeCell ref="B68:J68"/>
    <mergeCell ref="D33:I33"/>
    <mergeCell ref="D46:I46"/>
    <mergeCell ref="D39:I39"/>
    <mergeCell ref="D41:I41"/>
    <mergeCell ref="D42:I42"/>
    <mergeCell ref="D43:I43"/>
    <mergeCell ref="D44:I44"/>
    <mergeCell ref="D35:I35"/>
    <mergeCell ref="D36:I36"/>
    <mergeCell ref="D37:I37"/>
    <mergeCell ref="D38:I38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57" fitToHeight="99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2">
    <tabColor rgb="FFFF0000"/>
    <pageSetUpPr fitToPage="1"/>
  </sheetPr>
  <dimension ref="A1:Q91"/>
  <sheetViews>
    <sheetView showGridLines="0" view="pageBreakPreview" topLeftCell="A19" zoomScale="85" zoomScaleNormal="100" zoomScaleSheetLayoutView="85" workbookViewId="0">
      <selection activeCell="D38" sqref="D38:I3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'18'!B3+1</f>
        <v>46284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3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[남정현+]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P45" s="10"/>
      <c r="Q45" s="10"/>
    </row>
    <row r="46" spans="1:17" ht="20.100000000000001" customHeight="1" x14ac:dyDescent="0.3">
      <c r="A46" s="13"/>
      <c r="B46" s="743"/>
      <c r="C46" s="20">
        <v>4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[김광표+]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 t="s">
        <v>1516</v>
      </c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tabColor rgb="FFFF0000"/>
    <pageSetUpPr fitToPage="1"/>
  </sheetPr>
  <dimension ref="A1:Q91"/>
  <sheetViews>
    <sheetView showGridLines="0" view="pageBreakPreview" topLeftCell="A10" zoomScale="85" zoomScaleNormal="100" zoomScaleSheetLayoutView="85" workbookViewId="0">
      <selection activeCell="D38" sqref="D38:I3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'19'!B3+1</f>
        <v>46285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3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[남정현+]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4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[김광표+]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 t="s">
        <v>1482</v>
      </c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4"/>
  <dimension ref="A1:Q95"/>
  <sheetViews>
    <sheetView showGridLines="0" view="pageBreakPreview" topLeftCell="A37" zoomScale="85" zoomScaleNormal="100" zoomScaleSheetLayoutView="85" workbookViewId="0">
      <selection activeCell="B59" sqref="B59:J59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0" ht="10.5" customHeight="1" x14ac:dyDescent="0.3">
      <c r="B1" s="4"/>
      <c r="C1" s="5"/>
      <c r="D1" s="5"/>
      <c r="E1" s="5"/>
      <c r="F1" s="5"/>
      <c r="G1" s="5"/>
      <c r="H1" s="5"/>
    </row>
    <row r="2" spans="2:10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0" ht="14.25" customHeight="1" x14ac:dyDescent="0.3">
      <c r="B3" s="772">
        <f>'20'!B3+1</f>
        <v>46286</v>
      </c>
      <c r="C3" s="772"/>
      <c r="D3" s="772"/>
      <c r="E3" s="772"/>
      <c r="F3" s="772"/>
      <c r="G3" s="772"/>
      <c r="H3" s="772"/>
      <c r="I3" s="7"/>
      <c r="J3" s="7"/>
    </row>
    <row r="4" spans="2:10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0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0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0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0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0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0" ht="20.100000000000001" customHeight="1" x14ac:dyDescent="0.3">
      <c r="B10" s="731"/>
      <c r="C10" s="732"/>
      <c r="D10" s="732"/>
      <c r="E10" s="732"/>
      <c r="F10" s="732"/>
      <c r="G10" s="732"/>
      <c r="H10" s="732"/>
      <c r="I10" s="732"/>
      <c r="J10" s="733"/>
    </row>
    <row r="11" spans="2:10" ht="20.100000000000001" customHeight="1" x14ac:dyDescent="0.3">
      <c r="B11" s="731"/>
      <c r="C11" s="732"/>
      <c r="D11" s="732"/>
      <c r="E11" s="732"/>
      <c r="F11" s="732"/>
      <c r="G11" s="732"/>
      <c r="H11" s="732"/>
      <c r="I11" s="732"/>
      <c r="J11" s="733"/>
    </row>
    <row r="12" spans="2:10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0" ht="20.100000000000001" customHeight="1" x14ac:dyDescent="0.3">
      <c r="B13" s="731"/>
      <c r="C13" s="732"/>
      <c r="D13" s="732"/>
      <c r="E13" s="732"/>
      <c r="F13" s="732"/>
      <c r="G13" s="732"/>
      <c r="H13" s="732"/>
      <c r="I13" s="732"/>
      <c r="J13" s="733"/>
    </row>
    <row r="14" spans="2:10" ht="20.100000000000001" customHeight="1" x14ac:dyDescent="0.3">
      <c r="B14" s="785"/>
      <c r="C14" s="732"/>
      <c r="D14" s="732"/>
      <c r="E14" s="732"/>
      <c r="F14" s="732"/>
      <c r="G14" s="732"/>
      <c r="H14" s="732"/>
      <c r="I14" s="732"/>
      <c r="J14" s="733"/>
    </row>
    <row r="15" spans="2:10" ht="20.100000000000001" customHeight="1" x14ac:dyDescent="0.3">
      <c r="B15" s="785"/>
      <c r="C15" s="732"/>
      <c r="D15" s="732"/>
      <c r="E15" s="732"/>
      <c r="F15" s="732"/>
      <c r="G15" s="732"/>
      <c r="H15" s="732"/>
      <c r="I15" s="732"/>
      <c r="J15" s="733"/>
    </row>
    <row r="16" spans="2:10" ht="20.100000000000001" customHeight="1" x14ac:dyDescent="0.3">
      <c r="B16" s="731"/>
      <c r="C16" s="732"/>
      <c r="D16" s="732"/>
      <c r="E16" s="732"/>
      <c r="F16" s="732"/>
      <c r="G16" s="732"/>
      <c r="H16" s="732"/>
      <c r="I16" s="732"/>
      <c r="J16" s="733"/>
    </row>
    <row r="17" spans="2:13" ht="7.5" customHeight="1" thickBot="1" x14ac:dyDescent="0.35">
      <c r="B17" s="737"/>
      <c r="C17" s="738"/>
      <c r="D17" s="738"/>
      <c r="E17" s="738"/>
      <c r="F17" s="738"/>
      <c r="G17" s="738"/>
      <c r="H17" s="738"/>
      <c r="I17" s="738"/>
      <c r="J17" s="739"/>
    </row>
    <row r="18" spans="2:13" ht="21.75" customHeight="1" x14ac:dyDescent="0.3">
      <c r="B18" s="16"/>
      <c r="C18" s="16"/>
      <c r="D18" s="16"/>
      <c r="E18" s="16"/>
      <c r="F18" s="16"/>
      <c r="G18" s="16"/>
      <c r="H18" s="16"/>
      <c r="I18" s="16"/>
      <c r="J18" s="16"/>
    </row>
    <row r="19" spans="2:13" ht="23.1" customHeight="1" thickBot="1" x14ac:dyDescent="0.35">
      <c r="B19" s="1" t="s">
        <v>1</v>
      </c>
      <c r="I19" s="2"/>
      <c r="J19" s="24" t="s">
        <v>9</v>
      </c>
    </row>
    <row r="20" spans="2:13" ht="24.95" customHeight="1" thickBot="1" x14ac:dyDescent="0.35">
      <c r="B20" s="740" t="s">
        <v>10</v>
      </c>
      <c r="C20" s="741"/>
      <c r="D20" s="741"/>
      <c r="E20" s="741"/>
      <c r="F20" s="741"/>
      <c r="G20" s="741"/>
      <c r="H20" s="741"/>
      <c r="I20" s="741"/>
      <c r="J20" s="742"/>
      <c r="K20" s="8"/>
    </row>
    <row r="21" spans="2:13" ht="20.100000000000001" customHeight="1" x14ac:dyDescent="0.3">
      <c r="B21" s="3" t="s">
        <v>0</v>
      </c>
      <c r="C21" s="31" t="s">
        <v>11</v>
      </c>
      <c r="D21" s="26" t="s">
        <v>5</v>
      </c>
      <c r="E21" s="27"/>
      <c r="F21" s="27"/>
      <c r="G21" s="27"/>
      <c r="H21" s="27"/>
      <c r="I21" s="28"/>
      <c r="J21" s="32" t="s">
        <v>4</v>
      </c>
      <c r="K21" s="8"/>
    </row>
    <row r="22" spans="2:13" ht="20.100000000000001" customHeight="1" x14ac:dyDescent="0.3">
      <c r="B22" s="743" t="s">
        <v>2</v>
      </c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65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243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67"/>
      <c r="D25" s="751"/>
      <c r="E25" s="748"/>
      <c r="F25" s="748"/>
      <c r="G25" s="748"/>
      <c r="H25" s="748"/>
      <c r="I25" s="749"/>
      <c r="J25" s="36"/>
      <c r="K25" s="8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</row>
    <row r="27" spans="2:13" ht="20.100000000000001" customHeight="1" x14ac:dyDescent="0.3">
      <c r="B27" s="743"/>
      <c r="C27" s="22" t="s">
        <v>47</v>
      </c>
      <c r="D27" s="750"/>
      <c r="E27" s="726"/>
      <c r="F27" s="726"/>
      <c r="G27" s="726"/>
      <c r="H27" s="726"/>
      <c r="I27" s="727"/>
      <c r="J27" s="34"/>
      <c r="K27" s="8"/>
    </row>
    <row r="28" spans="2:13" ht="20.100000000000001" customHeight="1" x14ac:dyDescent="0.3">
      <c r="B28" s="743"/>
      <c r="C28" s="21" t="s">
        <v>375</v>
      </c>
      <c r="D28" s="725"/>
      <c r="E28" s="726"/>
      <c r="F28" s="726"/>
      <c r="G28" s="726"/>
      <c r="H28" s="726"/>
      <c r="I28" s="727"/>
      <c r="J28" s="35"/>
      <c r="K28" s="8"/>
    </row>
    <row r="29" spans="2:13" ht="20.100000000000001" customHeight="1" x14ac:dyDescent="0.3">
      <c r="B29" s="743"/>
      <c r="C29" s="21"/>
      <c r="D29" s="751"/>
      <c r="E29" s="748"/>
      <c r="F29" s="748"/>
      <c r="G29" s="748"/>
      <c r="H29" s="748"/>
      <c r="I29" s="749"/>
      <c r="J29" s="35"/>
      <c r="K29" s="8"/>
      <c r="L29" s="9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  <c r="L30" s="9"/>
      <c r="M30" s="9"/>
    </row>
    <row r="31" spans="2:13" ht="20.100000000000001" customHeight="1" x14ac:dyDescent="0.3">
      <c r="B31" s="743"/>
      <c r="C31" s="22" t="s">
        <v>48</v>
      </c>
      <c r="D31" s="750"/>
      <c r="E31" s="726"/>
      <c r="F31" s="726"/>
      <c r="G31" s="726"/>
      <c r="H31" s="726"/>
      <c r="I31" s="727"/>
      <c r="J31" s="34"/>
      <c r="K31" s="8"/>
      <c r="L31" s="9"/>
      <c r="M31" s="9"/>
    </row>
    <row r="32" spans="2:13" ht="20.100000000000001" customHeight="1" x14ac:dyDescent="0.3">
      <c r="B32" s="743"/>
      <c r="C32" s="21" t="s">
        <v>66</v>
      </c>
      <c r="D32" s="725"/>
      <c r="E32" s="726"/>
      <c r="F32" s="726"/>
      <c r="G32" s="726"/>
      <c r="H32" s="726"/>
      <c r="I32" s="727"/>
      <c r="J32" s="35"/>
      <c r="K32" s="8"/>
      <c r="L32" s="9"/>
      <c r="M32" s="9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22" t="s">
        <v>1083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 t="s">
        <v>951</v>
      </c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3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3"/>
      <c r="C38" s="29"/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69" t="s">
        <v>49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/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4"/>
      <c r="C41" s="67"/>
      <c r="D41" s="751"/>
      <c r="E41" s="748"/>
      <c r="F41" s="748"/>
      <c r="G41" s="748"/>
      <c r="H41" s="748"/>
      <c r="I41" s="749"/>
      <c r="J41" s="35"/>
      <c r="K41" s="8"/>
    </row>
    <row r="42" spans="1:17" ht="20.100000000000001" customHeight="1" x14ac:dyDescent="0.3">
      <c r="B42" s="745" t="s">
        <v>50</v>
      </c>
      <c r="C42" s="68" t="s">
        <v>3</v>
      </c>
      <c r="D42" s="752"/>
      <c r="E42" s="753"/>
      <c r="F42" s="753"/>
      <c r="G42" s="753"/>
      <c r="H42" s="753"/>
      <c r="I42" s="754"/>
      <c r="J42" s="33"/>
      <c r="K42" s="8"/>
    </row>
    <row r="43" spans="1:17" ht="20.100000000000001" customHeight="1" x14ac:dyDescent="0.3">
      <c r="B43" s="743"/>
      <c r="C43" s="20">
        <v>1</v>
      </c>
      <c r="D43" s="750"/>
      <c r="E43" s="726"/>
      <c r="F43" s="726"/>
      <c r="G43" s="726"/>
      <c r="H43" s="726"/>
      <c r="I43" s="727"/>
      <c r="J43" s="34"/>
      <c r="K43" s="8"/>
    </row>
    <row r="44" spans="1:17" ht="20.100000000000001" customHeight="1" x14ac:dyDescent="0.3">
      <c r="B44" s="743"/>
      <c r="C44" s="21" t="str">
        <f>IF(C43=1,"[조용환+]",IF(C43=2,"[한만석+]",IF(C43=3,"[남정현+]",IF(C43=4,"[김광표+]","???"))))</f>
        <v>[조용환+]</v>
      </c>
      <c r="D44" s="725"/>
      <c r="E44" s="726"/>
      <c r="F44" s="726"/>
      <c r="G44" s="726"/>
      <c r="H44" s="726"/>
      <c r="I44" s="727"/>
      <c r="J44" s="35"/>
      <c r="K44" s="8"/>
    </row>
    <row r="45" spans="1:17" ht="20.100000000000001" customHeight="1" x14ac:dyDescent="0.3">
      <c r="B45" s="743"/>
      <c r="C45" s="13"/>
      <c r="D45" s="725"/>
      <c r="E45" s="726"/>
      <c r="F45" s="726"/>
      <c r="G45" s="726"/>
      <c r="H45" s="726"/>
      <c r="I45" s="727"/>
      <c r="J45" s="35"/>
      <c r="K45" s="8"/>
    </row>
    <row r="46" spans="1:17" ht="20.100000000000001" customHeight="1" x14ac:dyDescent="0.3">
      <c r="A46" s="13"/>
      <c r="B46" s="743"/>
      <c r="C46" s="13"/>
      <c r="D46" s="725"/>
      <c r="E46" s="726"/>
      <c r="F46" s="726"/>
      <c r="G46" s="726"/>
      <c r="H46" s="726"/>
      <c r="I46" s="727"/>
      <c r="J46" s="35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13"/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9"/>
      <c r="D48" s="747"/>
      <c r="E48" s="748"/>
      <c r="F48" s="748"/>
      <c r="G48" s="748"/>
      <c r="H48" s="748"/>
      <c r="I48" s="749"/>
      <c r="J48" s="36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22" t="s">
        <v>8</v>
      </c>
      <c r="D49" s="752"/>
      <c r="E49" s="753"/>
      <c r="F49" s="753"/>
      <c r="G49" s="753"/>
      <c r="H49" s="753"/>
      <c r="I49" s="754"/>
      <c r="J49" s="33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20">
        <v>2</v>
      </c>
      <c r="D50" s="750"/>
      <c r="E50" s="726"/>
      <c r="F50" s="726"/>
      <c r="G50" s="726"/>
      <c r="H50" s="726"/>
      <c r="I50" s="727"/>
      <c r="J50" s="34"/>
      <c r="K50" s="8"/>
      <c r="L50" s="10"/>
      <c r="M50" s="10"/>
      <c r="N50" s="10"/>
      <c r="O50" s="10"/>
      <c r="P50" s="10"/>
      <c r="Q50" s="10"/>
    </row>
    <row r="51" spans="1:17" ht="20.100000000000001" customHeight="1" x14ac:dyDescent="0.3">
      <c r="A51" s="13"/>
      <c r="B51" s="743"/>
      <c r="C51" s="21" t="str">
        <f>IF(C50=1,"[조용환+]",IF(C50=2,"[한만석+]",IF(C50=3,"[남정현+]",IF(C50=4,"[김광표+]","???"))))</f>
        <v>[한만석+]</v>
      </c>
      <c r="D51" s="725"/>
      <c r="E51" s="726"/>
      <c r="F51" s="726"/>
      <c r="G51" s="726"/>
      <c r="H51" s="726"/>
      <c r="I51" s="727"/>
      <c r="J51" s="35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743"/>
      <c r="C52" s="13"/>
      <c r="D52" s="725"/>
      <c r="E52" s="726"/>
      <c r="F52" s="726"/>
      <c r="G52" s="726"/>
      <c r="H52" s="726"/>
      <c r="I52" s="727"/>
      <c r="J52" s="35"/>
      <c r="K52" s="8"/>
      <c r="L52" s="10"/>
      <c r="M52" s="10"/>
      <c r="N52" s="10"/>
      <c r="O52" s="10"/>
      <c r="P52" s="10"/>
      <c r="Q52" s="10"/>
    </row>
    <row r="53" spans="1:17" ht="20.100000000000001" customHeight="1" x14ac:dyDescent="0.3">
      <c r="A53" s="13"/>
      <c r="B53" s="743"/>
      <c r="C53" s="13"/>
      <c r="D53" s="725"/>
      <c r="E53" s="726"/>
      <c r="F53" s="726"/>
      <c r="G53" s="726"/>
      <c r="H53" s="726"/>
      <c r="I53" s="727"/>
      <c r="J53" s="35"/>
      <c r="K53" s="8"/>
      <c r="L53" s="10"/>
      <c r="M53" s="10"/>
      <c r="N53" s="10"/>
      <c r="O53" s="10"/>
      <c r="P53" s="10"/>
      <c r="Q53" s="10"/>
    </row>
    <row r="54" spans="1:17" ht="20.100000000000001" customHeight="1" x14ac:dyDescent="0.3">
      <c r="A54" s="13"/>
      <c r="B54" s="743"/>
      <c r="C54" s="13"/>
      <c r="D54" s="725"/>
      <c r="E54" s="726"/>
      <c r="F54" s="726"/>
      <c r="G54" s="726"/>
      <c r="H54" s="726"/>
      <c r="I54" s="727"/>
      <c r="J54" s="35"/>
      <c r="K54" s="8"/>
      <c r="L54" s="10"/>
      <c r="M54" s="10"/>
      <c r="N54" s="10"/>
      <c r="O54" s="10"/>
      <c r="P54" s="10"/>
      <c r="Q54" s="10"/>
    </row>
    <row r="55" spans="1:17" ht="20.100000000000001" customHeight="1" thickBot="1" x14ac:dyDescent="0.35">
      <c r="A55" s="13"/>
      <c r="B55" s="746"/>
      <c r="C55" s="25"/>
      <c r="D55" s="761"/>
      <c r="E55" s="762"/>
      <c r="F55" s="762"/>
      <c r="G55" s="762"/>
      <c r="H55" s="762"/>
      <c r="I55" s="763"/>
      <c r="J55" s="37"/>
      <c r="K55" s="8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13"/>
      <c r="B56" s="23" t="s">
        <v>12</v>
      </c>
      <c r="C56" s="17"/>
      <c r="D56" s="17"/>
      <c r="E56" s="17"/>
      <c r="F56" s="17"/>
      <c r="G56" s="17"/>
      <c r="H56" s="17"/>
      <c r="I56" s="17"/>
      <c r="J56" s="17"/>
      <c r="K56" s="8"/>
      <c r="L56" s="10"/>
      <c r="M56" s="10"/>
      <c r="N56" s="10"/>
      <c r="O56" s="10"/>
      <c r="P56" s="10"/>
      <c r="Q56" s="10"/>
    </row>
    <row r="57" spans="1:17" ht="6" customHeight="1" x14ac:dyDescent="0.3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8"/>
      <c r="L57" s="10"/>
      <c r="M57" s="10"/>
      <c r="N57" s="10"/>
      <c r="O57" s="10"/>
      <c r="P57" s="10"/>
      <c r="Q57" s="10"/>
    </row>
    <row r="58" spans="1:17" ht="18.75" customHeight="1" thickBot="1" x14ac:dyDescent="0.35">
      <c r="B58" s="1" t="s">
        <v>7</v>
      </c>
      <c r="C58" s="17"/>
      <c r="D58" s="17"/>
      <c r="E58" s="17"/>
      <c r="F58" s="17"/>
      <c r="G58" s="17"/>
      <c r="H58" s="17"/>
      <c r="I58" s="17"/>
      <c r="J58" s="18"/>
      <c r="K58" s="8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64"/>
      <c r="C59" s="765"/>
      <c r="D59" s="765"/>
      <c r="E59" s="765"/>
      <c r="F59" s="765"/>
      <c r="G59" s="765"/>
      <c r="H59" s="765"/>
      <c r="I59" s="765"/>
      <c r="J59" s="766"/>
      <c r="K59" s="39"/>
      <c r="L59" s="10"/>
      <c r="M59" s="10"/>
      <c r="N59" s="10"/>
      <c r="O59" s="10"/>
      <c r="P59" s="10"/>
      <c r="Q59" s="10"/>
    </row>
    <row r="60" spans="1:17" ht="20.100000000000001" customHeight="1" x14ac:dyDescent="0.3">
      <c r="A60" s="38"/>
      <c r="B60" s="767"/>
      <c r="C60" s="768"/>
      <c r="D60" s="768"/>
      <c r="E60" s="768"/>
      <c r="F60" s="768"/>
      <c r="G60" s="768"/>
      <c r="H60" s="768"/>
      <c r="I60" s="768"/>
      <c r="J60" s="769"/>
      <c r="K60" s="39"/>
      <c r="L60" s="10"/>
      <c r="M60" s="10"/>
      <c r="N60" s="10"/>
      <c r="O60" s="10"/>
      <c r="P60" s="10"/>
      <c r="Q60" s="10"/>
    </row>
    <row r="61" spans="1:17" ht="20.100000000000001" customHeight="1" x14ac:dyDescent="0.3">
      <c r="A61" s="38"/>
      <c r="B61" s="755"/>
      <c r="C61" s="756"/>
      <c r="D61" s="756"/>
      <c r="E61" s="756"/>
      <c r="F61" s="756"/>
      <c r="G61" s="756"/>
      <c r="H61" s="756"/>
      <c r="I61" s="756"/>
      <c r="J61" s="757"/>
      <c r="K61" s="39"/>
      <c r="L61" s="10"/>
      <c r="M61" s="10"/>
      <c r="N61" s="10"/>
      <c r="O61" s="10"/>
      <c r="P61" s="10"/>
      <c r="Q61" s="10"/>
    </row>
    <row r="62" spans="1:17" ht="20.100000000000001" customHeight="1" x14ac:dyDescent="0.3">
      <c r="A62" s="38"/>
      <c r="B62" s="755"/>
      <c r="C62" s="756"/>
      <c r="D62" s="756"/>
      <c r="E62" s="756"/>
      <c r="F62" s="756"/>
      <c r="G62" s="756"/>
      <c r="H62" s="756"/>
      <c r="I62" s="756"/>
      <c r="J62" s="757"/>
      <c r="K62" s="39"/>
      <c r="L62" s="10"/>
      <c r="M62" s="10"/>
      <c r="N62" s="10"/>
      <c r="O62" s="10"/>
      <c r="P62" s="10"/>
      <c r="Q62" s="10"/>
    </row>
    <row r="63" spans="1:17" ht="20.100000000000001" customHeight="1" x14ac:dyDescent="0.3">
      <c r="A63" s="38"/>
      <c r="B63" s="755"/>
      <c r="C63" s="756"/>
      <c r="D63" s="756"/>
      <c r="E63" s="756"/>
      <c r="F63" s="756"/>
      <c r="G63" s="756"/>
      <c r="H63" s="756"/>
      <c r="I63" s="756"/>
      <c r="J63" s="757"/>
      <c r="K63" s="38"/>
    </row>
    <row r="64" spans="1:17" ht="20.100000000000001" customHeight="1" thickBot="1" x14ac:dyDescent="0.35">
      <c r="A64" s="38"/>
      <c r="B64" s="758"/>
      <c r="C64" s="759"/>
      <c r="D64" s="759"/>
      <c r="E64" s="759"/>
      <c r="F64" s="759"/>
      <c r="G64" s="759"/>
      <c r="H64" s="759"/>
      <c r="I64" s="759"/>
      <c r="J64" s="760"/>
      <c r="K64" s="38"/>
    </row>
    <row r="65" spans="2:10" ht="5.25" customHeight="1" x14ac:dyDescent="0.3">
      <c r="B65" s="11"/>
      <c r="C65" s="11"/>
      <c r="D65" s="11"/>
      <c r="E65" s="11"/>
      <c r="F65" s="11"/>
      <c r="G65" s="11"/>
      <c r="H65" s="11"/>
      <c r="I65" s="11"/>
      <c r="J65" s="11"/>
    </row>
    <row r="66" spans="2:10" ht="24.95" customHeight="1" x14ac:dyDescent="0.3">
      <c r="B66" s="12"/>
      <c r="C66" s="12"/>
      <c r="D66" s="12"/>
      <c r="E66" s="12"/>
      <c r="F66" s="12"/>
      <c r="G66" s="12"/>
      <c r="H66" s="12"/>
      <c r="I66" s="12"/>
      <c r="J66" s="12"/>
    </row>
    <row r="67" spans="2:10" x14ac:dyDescent="0.3">
      <c r="B67" s="13"/>
      <c r="C67" s="13"/>
      <c r="D67" s="13"/>
      <c r="E67" s="13"/>
      <c r="F67" s="13"/>
      <c r="G67" s="13"/>
      <c r="H67" s="13"/>
      <c r="I67" s="13"/>
      <c r="J67" s="13"/>
    </row>
    <row r="68" spans="2:10" ht="24.95" customHeight="1" x14ac:dyDescent="0.3">
      <c r="B68" s="13"/>
      <c r="C68" s="770"/>
      <c r="D68" s="770"/>
      <c r="E68" s="770"/>
      <c r="F68" s="770"/>
      <c r="G68" s="770"/>
      <c r="H68" s="770"/>
      <c r="I68" s="13"/>
      <c r="J68" s="13"/>
    </row>
    <row r="69" spans="2:10" ht="24.95" customHeight="1" x14ac:dyDescent="0.3">
      <c r="B69" s="13"/>
      <c r="C69" s="14"/>
      <c r="D69" s="14"/>
      <c r="E69" s="14"/>
      <c r="F69" s="14"/>
      <c r="G69" s="14"/>
      <c r="H69" s="14"/>
      <c r="I69" s="13"/>
      <c r="J69" s="13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770"/>
      <c r="D71" s="770"/>
      <c r="E71" s="770"/>
      <c r="F71" s="770"/>
      <c r="G71" s="770"/>
      <c r="H71" s="770"/>
      <c r="I71" s="13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3"/>
      <c r="E73" s="14"/>
      <c r="F73" s="14"/>
      <c r="G73" s="14"/>
      <c r="H73" s="14"/>
      <c r="I73" s="14"/>
      <c r="J73" s="14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ht="24.95" customHeight="1" x14ac:dyDescent="0.3">
      <c r="B75" s="13"/>
      <c r="C75" s="13"/>
      <c r="D75" s="14"/>
      <c r="E75" s="14"/>
      <c r="F75" s="14"/>
      <c r="G75" s="14"/>
      <c r="H75" s="14"/>
      <c r="I75" s="14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ht="24.95" customHeight="1" x14ac:dyDescent="0.3">
      <c r="B77" s="13"/>
      <c r="C77" s="13"/>
      <c r="D77" s="14"/>
      <c r="E77" s="14"/>
      <c r="F77" s="14"/>
      <c r="G77" s="14"/>
      <c r="H77" s="14"/>
      <c r="I77" s="14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  <row r="92" spans="2:10" x14ac:dyDescent="0.3">
      <c r="B92" s="13"/>
      <c r="C92" s="13"/>
      <c r="D92" s="13"/>
      <c r="E92" s="13"/>
      <c r="F92" s="13"/>
      <c r="G92" s="13"/>
      <c r="H92" s="13"/>
      <c r="I92" s="13"/>
      <c r="J92" s="13"/>
    </row>
    <row r="93" spans="2:10" x14ac:dyDescent="0.3">
      <c r="B93" s="13"/>
      <c r="C93" s="13"/>
      <c r="D93" s="13"/>
      <c r="E93" s="13"/>
      <c r="F93" s="13"/>
      <c r="G93" s="13"/>
      <c r="H93" s="13"/>
      <c r="I93" s="13"/>
      <c r="J93" s="13"/>
    </row>
    <row r="94" spans="2:10" x14ac:dyDescent="0.3">
      <c r="B94" s="13"/>
      <c r="C94" s="13"/>
      <c r="D94" s="13"/>
      <c r="E94" s="13"/>
      <c r="F94" s="13"/>
      <c r="G94" s="13"/>
      <c r="H94" s="13"/>
      <c r="I94" s="13"/>
      <c r="J94" s="13"/>
    </row>
    <row r="95" spans="2:10" x14ac:dyDescent="0.3">
      <c r="B95" s="13"/>
      <c r="C95" s="13"/>
      <c r="D95" s="13"/>
      <c r="E95" s="13"/>
      <c r="F95" s="13"/>
      <c r="G95" s="13"/>
      <c r="H95" s="13"/>
      <c r="I95" s="13"/>
      <c r="J95" s="13"/>
    </row>
  </sheetData>
  <mergeCells count="59">
    <mergeCell ref="B16:J16"/>
    <mergeCell ref="D22:I22"/>
    <mergeCell ref="D23:I23"/>
    <mergeCell ref="B13:J13"/>
    <mergeCell ref="B15:J15"/>
    <mergeCell ref="B14:J14"/>
    <mergeCell ref="B17:J17"/>
    <mergeCell ref="B20:J20"/>
    <mergeCell ref="B22:B41"/>
    <mergeCell ref="D24:I24"/>
    <mergeCell ref="D25:I25"/>
    <mergeCell ref="D26:I26"/>
    <mergeCell ref="D27:I27"/>
    <mergeCell ref="D28:I28"/>
    <mergeCell ref="D31:I31"/>
    <mergeCell ref="D37:I37"/>
    <mergeCell ref="B2:J2"/>
    <mergeCell ref="B3:H3"/>
    <mergeCell ref="B6:J6"/>
    <mergeCell ref="B7:J7"/>
    <mergeCell ref="B12:J12"/>
    <mergeCell ref="B8:J8"/>
    <mergeCell ref="B9:J9"/>
    <mergeCell ref="B10:J10"/>
    <mergeCell ref="B11:J11"/>
    <mergeCell ref="B42:B55"/>
    <mergeCell ref="C68:H68"/>
    <mergeCell ref="D55:I55"/>
    <mergeCell ref="D44:I44"/>
    <mergeCell ref="D45:I45"/>
    <mergeCell ref="D48:I48"/>
    <mergeCell ref="D49:I49"/>
    <mergeCell ref="D42:I42"/>
    <mergeCell ref="D50:I50"/>
    <mergeCell ref="D51:I51"/>
    <mergeCell ref="D52:I52"/>
    <mergeCell ref="D46:I46"/>
    <mergeCell ref="D47:I47"/>
    <mergeCell ref="D53:I53"/>
    <mergeCell ref="D54:I54"/>
    <mergeCell ref="C71:H71"/>
    <mergeCell ref="B59:J59"/>
    <mergeCell ref="B60:J60"/>
    <mergeCell ref="B61:J61"/>
    <mergeCell ref="B62:J62"/>
    <mergeCell ref="B63:J63"/>
    <mergeCell ref="B64:J64"/>
    <mergeCell ref="D29:I29"/>
    <mergeCell ref="D30:I30"/>
    <mergeCell ref="D43:I43"/>
    <mergeCell ref="D36:I36"/>
    <mergeCell ref="D38:I38"/>
    <mergeCell ref="D39:I39"/>
    <mergeCell ref="D40:I40"/>
    <mergeCell ref="D41:I41"/>
    <mergeCell ref="D32:I32"/>
    <mergeCell ref="D33:I33"/>
    <mergeCell ref="D34:I34"/>
    <mergeCell ref="D35:I35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0" fitToHeight="999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5">
    <pageSetUpPr fitToPage="1"/>
  </sheetPr>
  <dimension ref="A1:Q91"/>
  <sheetViews>
    <sheetView showGridLines="0" view="pageBreakPreview" topLeftCell="A28" zoomScale="85" zoomScaleNormal="100" zoomScaleSheetLayoutView="85" workbookViewId="0">
      <selection activeCell="D33" sqref="D33:I33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'21'!B3+1</f>
        <v>46287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/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6">
    <pageSetUpPr fitToPage="1"/>
  </sheetPr>
  <dimension ref="A1:Q91"/>
  <sheetViews>
    <sheetView showGridLines="0" view="pageBreakPreview" zoomScale="85" zoomScaleNormal="100" zoomScaleSheetLayoutView="85" workbookViewId="0">
      <selection activeCell="D33" sqref="D33:I33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'22'!B3+1</f>
        <v>46288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/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7">
    <tabColor rgb="FFFF0000"/>
    <pageSetUpPr fitToPage="1"/>
  </sheetPr>
  <dimension ref="A1:Q91"/>
  <sheetViews>
    <sheetView showGridLines="0" view="pageBreakPreview" topLeftCell="B37" zoomScale="85" zoomScaleNormal="100" zoomScaleSheetLayoutView="85" workbookViewId="0">
      <selection activeCell="D37" sqref="D37:I37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'23'!B3+1</f>
        <v>46289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/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8">
    <tabColor rgb="FFFF0000"/>
    <pageSetUpPr fitToPage="1"/>
  </sheetPr>
  <dimension ref="A1:Q91"/>
  <sheetViews>
    <sheetView showGridLines="0" view="pageBreakPreview" topLeftCell="A28" zoomScale="85" zoomScaleNormal="100" zoomScaleSheetLayoutView="85" workbookViewId="0">
      <selection activeCell="B58" sqref="B58:J5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'24'!B3+1</f>
        <v>46290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 t="s">
        <v>1416</v>
      </c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9">
    <tabColor rgb="FFFF0000"/>
    <pageSetUpPr fitToPage="1"/>
  </sheetPr>
  <dimension ref="A1:Q91"/>
  <sheetViews>
    <sheetView showGridLines="0" view="pageBreakPreview" topLeftCell="A31" zoomScale="85" zoomScaleNormal="100" zoomScaleSheetLayoutView="85" workbookViewId="0">
      <selection activeCell="B55" sqref="B55:J55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'25'!B3+1</f>
        <v>46291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 t="s">
        <v>1449</v>
      </c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rgb="FFFF0000"/>
    <pageSetUpPr fitToPage="1"/>
  </sheetPr>
  <dimension ref="A1:Q91"/>
  <sheetViews>
    <sheetView showGridLines="0" view="pageBreakPreview" topLeftCell="A31" zoomScale="85" zoomScaleNormal="100" zoomScaleSheetLayoutView="85" workbookViewId="0">
      <selection activeCell="D38" sqref="D38:I3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'26'!B3+1</f>
        <v>46292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 t="s">
        <v>1204</v>
      </c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>
    <tabColor rgb="FF0000FF"/>
    <pageSetUpPr fitToPage="1"/>
  </sheetPr>
  <dimension ref="A1:Q91"/>
  <sheetViews>
    <sheetView showGridLines="0" view="pageBreakPreview" topLeftCell="A28" zoomScale="85" zoomScaleNormal="100" zoomScaleSheetLayoutView="85" workbookViewId="0">
      <selection activeCell="D38" sqref="D38:I38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'27'!B3+1</f>
        <v>46293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 t="s">
        <v>1203</v>
      </c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2">
    <pageSetUpPr fitToPage="1"/>
  </sheetPr>
  <dimension ref="A1:Q91"/>
  <sheetViews>
    <sheetView showGridLines="0" view="pageBreakPreview" topLeftCell="B31" zoomScale="85" zoomScaleNormal="100" zoomScaleSheetLayoutView="85" workbookViewId="0">
      <selection activeCell="D33" sqref="D33:I33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'28'!B3+1</f>
        <v>46294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/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3">
    <pageSetUpPr fitToPage="1"/>
  </sheetPr>
  <dimension ref="A1:Q91"/>
  <sheetViews>
    <sheetView showGridLines="0" view="pageBreakPreview" zoomScale="85" zoomScaleNormal="100" zoomScaleSheetLayoutView="85" workbookViewId="0">
      <selection activeCell="D33" sqref="D33:I33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'29'!B3+1</f>
        <v>46295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/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>
    <pageSetUpPr fitToPage="1"/>
  </sheetPr>
  <dimension ref="A1:Q91"/>
  <sheetViews>
    <sheetView showGridLines="0" view="pageBreakPreview" topLeftCell="A7" zoomScale="85" zoomScaleNormal="100" zoomScaleSheetLayoutView="85" workbookViewId="0">
      <selection activeCell="D31" sqref="D31:I31"/>
    </sheetView>
  </sheetViews>
  <sheetFormatPr defaultColWidth="10" defaultRowHeight="13.5" x14ac:dyDescent="0.3"/>
  <cols>
    <col min="1" max="1" width="1.25" style="6" customWidth="1"/>
    <col min="2" max="2" width="5.375" style="6" customWidth="1"/>
    <col min="3" max="3" width="12.375" style="6" customWidth="1"/>
    <col min="4" max="5" width="8.75" style="6" customWidth="1"/>
    <col min="6" max="6" width="12.125" style="6" customWidth="1"/>
    <col min="7" max="7" width="21.125" style="6" customWidth="1"/>
    <col min="8" max="8" width="28.375" style="6" customWidth="1"/>
    <col min="9" max="9" width="5.5" style="6" customWidth="1"/>
    <col min="10" max="10" width="20.75" style="6" customWidth="1"/>
    <col min="11" max="11" width="1.5" style="6" customWidth="1"/>
    <col min="12" max="13" width="8.75" style="6" customWidth="1"/>
    <col min="14" max="14" width="6.5" style="6" customWidth="1"/>
    <col min="15" max="16384" width="10" style="6"/>
  </cols>
  <sheetData>
    <row r="1" spans="2:11" ht="10.5" customHeight="1" x14ac:dyDescent="0.3">
      <c r="B1" s="4"/>
      <c r="C1" s="5"/>
      <c r="D1" s="5"/>
      <c r="E1" s="5"/>
      <c r="F1" s="5"/>
      <c r="G1" s="5"/>
      <c r="H1" s="5"/>
    </row>
    <row r="2" spans="2:11" ht="30" customHeight="1" x14ac:dyDescent="0.3">
      <c r="B2" s="771" t="s">
        <v>6</v>
      </c>
      <c r="C2" s="771"/>
      <c r="D2" s="771"/>
      <c r="E2" s="771"/>
      <c r="F2" s="771"/>
      <c r="G2" s="771"/>
      <c r="H2" s="771"/>
      <c r="I2" s="771"/>
      <c r="J2" s="771"/>
    </row>
    <row r="3" spans="2:11" ht="14.25" customHeight="1" x14ac:dyDescent="0.3">
      <c r="B3" s="772">
        <f>'30'!B3+1</f>
        <v>46296</v>
      </c>
      <c r="C3" s="772"/>
      <c r="D3" s="772"/>
      <c r="E3" s="772"/>
      <c r="F3" s="772"/>
      <c r="G3" s="772"/>
      <c r="H3" s="772"/>
      <c r="I3" s="7"/>
      <c r="J3" s="7"/>
    </row>
    <row r="4" spans="2:11" ht="6" customHeight="1" x14ac:dyDescent="0.3">
      <c r="B4" s="30"/>
      <c r="C4" s="30"/>
      <c r="D4" s="30"/>
      <c r="E4" s="30"/>
      <c r="F4" s="30"/>
      <c r="G4" s="30"/>
      <c r="H4" s="30"/>
      <c r="I4" s="7"/>
      <c r="J4" s="7"/>
    </row>
    <row r="5" spans="2:11" ht="19.5" customHeight="1" thickBot="1" x14ac:dyDescent="0.35">
      <c r="B5" s="1" t="s">
        <v>86</v>
      </c>
      <c r="C5" s="30"/>
      <c r="D5" s="30"/>
      <c r="E5" s="30"/>
      <c r="F5" s="30"/>
      <c r="G5" s="30"/>
      <c r="H5" s="30"/>
      <c r="I5" s="7"/>
      <c r="J5" s="7"/>
    </row>
    <row r="6" spans="2:11" ht="20.100000000000001" customHeight="1" x14ac:dyDescent="0.3">
      <c r="B6" s="773"/>
      <c r="C6" s="774"/>
      <c r="D6" s="774"/>
      <c r="E6" s="774"/>
      <c r="F6" s="774"/>
      <c r="G6" s="774"/>
      <c r="H6" s="774"/>
      <c r="I6" s="774"/>
      <c r="J6" s="775"/>
    </row>
    <row r="7" spans="2:11" ht="20.100000000000001" customHeight="1" x14ac:dyDescent="0.3">
      <c r="B7" s="731"/>
      <c r="C7" s="732"/>
      <c r="D7" s="732"/>
      <c r="E7" s="732"/>
      <c r="F7" s="732"/>
      <c r="G7" s="732"/>
      <c r="H7" s="732"/>
      <c r="I7" s="732"/>
      <c r="J7" s="733"/>
    </row>
    <row r="8" spans="2:11" ht="20.100000000000001" customHeight="1" x14ac:dyDescent="0.3">
      <c r="B8" s="731"/>
      <c r="C8" s="732"/>
      <c r="D8" s="732"/>
      <c r="E8" s="732"/>
      <c r="F8" s="732"/>
      <c r="G8" s="732"/>
      <c r="H8" s="732"/>
      <c r="I8" s="732"/>
      <c r="J8" s="733"/>
    </row>
    <row r="9" spans="2:11" ht="20.100000000000001" customHeight="1" x14ac:dyDescent="0.3">
      <c r="B9" s="731"/>
      <c r="C9" s="732"/>
      <c r="D9" s="732"/>
      <c r="E9" s="732"/>
      <c r="F9" s="732"/>
      <c r="G9" s="732"/>
      <c r="H9" s="732"/>
      <c r="I9" s="732"/>
      <c r="J9" s="733"/>
    </row>
    <row r="10" spans="2:11" ht="20.100000000000001" customHeight="1" x14ac:dyDescent="0.3">
      <c r="B10" s="785"/>
      <c r="C10" s="732"/>
      <c r="D10" s="732"/>
      <c r="E10" s="732"/>
      <c r="F10" s="732"/>
      <c r="G10" s="732"/>
      <c r="H10" s="732"/>
      <c r="I10" s="732"/>
      <c r="J10" s="733"/>
    </row>
    <row r="11" spans="2:11" ht="20.100000000000001" customHeight="1" x14ac:dyDescent="0.3">
      <c r="B11" s="785"/>
      <c r="C11" s="732"/>
      <c r="D11" s="732"/>
      <c r="E11" s="732"/>
      <c r="F11" s="732"/>
      <c r="G11" s="732"/>
      <c r="H11" s="732"/>
      <c r="I11" s="732"/>
      <c r="J11" s="733"/>
    </row>
    <row r="12" spans="2:11" ht="20.100000000000001" customHeight="1" x14ac:dyDescent="0.3">
      <c r="B12" s="731"/>
      <c r="C12" s="732"/>
      <c r="D12" s="732"/>
      <c r="E12" s="732"/>
      <c r="F12" s="732"/>
      <c r="G12" s="732"/>
      <c r="H12" s="732"/>
      <c r="I12" s="732"/>
      <c r="J12" s="733"/>
    </row>
    <row r="13" spans="2:11" ht="7.5" customHeight="1" thickBot="1" x14ac:dyDescent="0.35">
      <c r="B13" s="737"/>
      <c r="C13" s="738"/>
      <c r="D13" s="738"/>
      <c r="E13" s="738"/>
      <c r="F13" s="738"/>
      <c r="G13" s="738"/>
      <c r="H13" s="738"/>
      <c r="I13" s="738"/>
      <c r="J13" s="739"/>
    </row>
    <row r="14" spans="2:11" ht="21.75" customHeight="1" x14ac:dyDescent="0.3">
      <c r="B14" s="16"/>
      <c r="C14" s="16"/>
      <c r="D14" s="16"/>
      <c r="E14" s="16"/>
      <c r="F14" s="16"/>
      <c r="G14" s="16"/>
      <c r="H14" s="16"/>
      <c r="I14" s="16"/>
      <c r="J14" s="16"/>
    </row>
    <row r="15" spans="2:11" ht="23.1" customHeight="1" thickBot="1" x14ac:dyDescent="0.35">
      <c r="B15" s="1" t="s">
        <v>1</v>
      </c>
      <c r="I15" s="2"/>
      <c r="J15" s="24" t="s">
        <v>9</v>
      </c>
    </row>
    <row r="16" spans="2:11" ht="24.95" customHeight="1" thickBot="1" x14ac:dyDescent="0.35">
      <c r="B16" s="740" t="s">
        <v>10</v>
      </c>
      <c r="C16" s="741"/>
      <c r="D16" s="741"/>
      <c r="E16" s="741"/>
      <c r="F16" s="741"/>
      <c r="G16" s="741"/>
      <c r="H16" s="741"/>
      <c r="I16" s="741"/>
      <c r="J16" s="742"/>
      <c r="K16" s="8"/>
    </row>
    <row r="17" spans="2:13" ht="20.100000000000001" customHeight="1" x14ac:dyDescent="0.3">
      <c r="B17" s="3" t="s">
        <v>0</v>
      </c>
      <c r="C17" s="31" t="s">
        <v>11</v>
      </c>
      <c r="D17" s="26" t="s">
        <v>5</v>
      </c>
      <c r="E17" s="27"/>
      <c r="F17" s="27"/>
      <c r="G17" s="27"/>
      <c r="H17" s="27"/>
      <c r="I17" s="28"/>
      <c r="J17" s="32" t="s">
        <v>4</v>
      </c>
      <c r="K17" s="8"/>
    </row>
    <row r="18" spans="2:13" ht="20.100000000000001" customHeight="1" x14ac:dyDescent="0.3">
      <c r="B18" s="743" t="s">
        <v>2</v>
      </c>
      <c r="C18" s="29"/>
      <c r="D18" s="752"/>
      <c r="E18" s="753"/>
      <c r="F18" s="753"/>
      <c r="G18" s="753"/>
      <c r="H18" s="753"/>
      <c r="I18" s="754"/>
      <c r="J18" s="33"/>
      <c r="K18" s="8"/>
    </row>
    <row r="19" spans="2:13" ht="20.100000000000001" customHeight="1" x14ac:dyDescent="0.3">
      <c r="B19" s="743"/>
      <c r="C19" s="22" t="s">
        <v>65</v>
      </c>
      <c r="D19" s="750"/>
      <c r="E19" s="726"/>
      <c r="F19" s="726"/>
      <c r="G19" s="726"/>
      <c r="H19" s="726"/>
      <c r="I19" s="727"/>
      <c r="J19" s="34"/>
      <c r="K19" s="8"/>
    </row>
    <row r="20" spans="2:13" ht="20.100000000000001" customHeight="1" x14ac:dyDescent="0.3">
      <c r="B20" s="743"/>
      <c r="C20" s="21" t="s">
        <v>243</v>
      </c>
      <c r="D20" s="725"/>
      <c r="E20" s="726"/>
      <c r="F20" s="726"/>
      <c r="G20" s="726"/>
      <c r="H20" s="726"/>
      <c r="I20" s="727"/>
      <c r="J20" s="35"/>
      <c r="K20" s="8"/>
    </row>
    <row r="21" spans="2:13" ht="20.100000000000001" customHeight="1" x14ac:dyDescent="0.3">
      <c r="B21" s="743"/>
      <c r="C21" s="67"/>
      <c r="D21" s="751"/>
      <c r="E21" s="748"/>
      <c r="F21" s="748"/>
      <c r="G21" s="748"/>
      <c r="H21" s="748"/>
      <c r="I21" s="749"/>
      <c r="J21" s="36"/>
      <c r="K21" s="8"/>
    </row>
    <row r="22" spans="2:13" ht="20.100000000000001" customHeight="1" x14ac:dyDescent="0.3">
      <c r="B22" s="743"/>
      <c r="C22" s="29"/>
      <c r="D22" s="752"/>
      <c r="E22" s="753"/>
      <c r="F22" s="753"/>
      <c r="G22" s="753"/>
      <c r="H22" s="753"/>
      <c r="I22" s="754"/>
      <c r="J22" s="33"/>
      <c r="K22" s="8"/>
    </row>
    <row r="23" spans="2:13" ht="20.100000000000001" customHeight="1" x14ac:dyDescent="0.3">
      <c r="B23" s="743"/>
      <c r="C23" s="22" t="s">
        <v>47</v>
      </c>
      <c r="D23" s="750"/>
      <c r="E23" s="726"/>
      <c r="F23" s="726"/>
      <c r="G23" s="726"/>
      <c r="H23" s="726"/>
      <c r="I23" s="727"/>
      <c r="J23" s="34"/>
      <c r="K23" s="8"/>
    </row>
    <row r="24" spans="2:13" ht="20.100000000000001" customHeight="1" x14ac:dyDescent="0.3">
      <c r="B24" s="743"/>
      <c r="C24" s="21" t="s">
        <v>375</v>
      </c>
      <c r="D24" s="725"/>
      <c r="E24" s="726"/>
      <c r="F24" s="726"/>
      <c r="G24" s="726"/>
      <c r="H24" s="726"/>
      <c r="I24" s="727"/>
      <c r="J24" s="35"/>
      <c r="K24" s="8"/>
    </row>
    <row r="25" spans="2:13" ht="20.100000000000001" customHeight="1" x14ac:dyDescent="0.3">
      <c r="B25" s="743"/>
      <c r="C25" s="21"/>
      <c r="D25" s="751"/>
      <c r="E25" s="748"/>
      <c r="F25" s="748"/>
      <c r="G25" s="748"/>
      <c r="H25" s="748"/>
      <c r="I25" s="749"/>
      <c r="J25" s="35"/>
      <c r="K25" s="8"/>
      <c r="L25" s="9"/>
    </row>
    <row r="26" spans="2:13" ht="20.100000000000001" customHeight="1" x14ac:dyDescent="0.3">
      <c r="B26" s="743"/>
      <c r="C26" s="29"/>
      <c r="D26" s="752"/>
      <c r="E26" s="753"/>
      <c r="F26" s="753"/>
      <c r="G26" s="753"/>
      <c r="H26" s="753"/>
      <c r="I26" s="754"/>
      <c r="J26" s="33"/>
      <c r="K26" s="8"/>
      <c r="L26" s="9"/>
      <c r="M26" s="9"/>
    </row>
    <row r="27" spans="2:13" ht="20.100000000000001" customHeight="1" x14ac:dyDescent="0.3">
      <c r="B27" s="743"/>
      <c r="C27" s="22" t="s">
        <v>48</v>
      </c>
      <c r="D27" s="750"/>
      <c r="E27" s="726"/>
      <c r="F27" s="726"/>
      <c r="G27" s="726"/>
      <c r="H27" s="726"/>
      <c r="I27" s="727"/>
      <c r="J27" s="34"/>
      <c r="K27" s="8"/>
      <c r="L27" s="9"/>
      <c r="M27" s="9"/>
    </row>
    <row r="28" spans="2:13" ht="20.100000000000001" customHeight="1" x14ac:dyDescent="0.3">
      <c r="B28" s="743"/>
      <c r="C28" s="21" t="s">
        <v>66</v>
      </c>
      <c r="D28" s="725"/>
      <c r="E28" s="726"/>
      <c r="F28" s="726"/>
      <c r="G28" s="726"/>
      <c r="H28" s="726"/>
      <c r="I28" s="727"/>
      <c r="J28" s="35"/>
      <c r="K28" s="8"/>
      <c r="L28" s="9"/>
      <c r="M28" s="9"/>
    </row>
    <row r="29" spans="2:13" ht="20.100000000000001" customHeight="1" x14ac:dyDescent="0.3">
      <c r="B29" s="743"/>
      <c r="C29" s="67"/>
      <c r="D29" s="751"/>
      <c r="E29" s="748"/>
      <c r="F29" s="748"/>
      <c r="G29" s="748"/>
      <c r="H29" s="748"/>
      <c r="I29" s="749"/>
      <c r="J29" s="35"/>
      <c r="K29" s="8"/>
    </row>
    <row r="30" spans="2:13" ht="20.100000000000001" customHeight="1" x14ac:dyDescent="0.3">
      <c r="B30" s="743"/>
      <c r="C30" s="29"/>
      <c r="D30" s="752"/>
      <c r="E30" s="753"/>
      <c r="F30" s="753"/>
      <c r="G30" s="753"/>
      <c r="H30" s="753"/>
      <c r="I30" s="754"/>
      <c r="J30" s="33"/>
      <c r="K30" s="8"/>
    </row>
    <row r="31" spans="2:13" ht="20.100000000000001" customHeight="1" x14ac:dyDescent="0.3">
      <c r="B31" s="743"/>
      <c r="C31" s="22" t="s">
        <v>1083</v>
      </c>
      <c r="D31" s="750"/>
      <c r="E31" s="726"/>
      <c r="F31" s="726"/>
      <c r="G31" s="726"/>
      <c r="H31" s="726"/>
      <c r="I31" s="727"/>
      <c r="J31" s="34"/>
      <c r="K31" s="8"/>
    </row>
    <row r="32" spans="2:13" ht="20.100000000000001" customHeight="1" x14ac:dyDescent="0.3">
      <c r="B32" s="743"/>
      <c r="C32" s="21" t="s">
        <v>951</v>
      </c>
      <c r="D32" s="725"/>
      <c r="E32" s="726"/>
      <c r="F32" s="726"/>
      <c r="G32" s="726"/>
      <c r="H32" s="726"/>
      <c r="I32" s="727"/>
      <c r="J32" s="35"/>
      <c r="K32" s="8"/>
    </row>
    <row r="33" spans="1:17" ht="20.100000000000001" customHeight="1" x14ac:dyDescent="0.3">
      <c r="B33" s="743"/>
      <c r="C33" s="67"/>
      <c r="D33" s="751"/>
      <c r="E33" s="748"/>
      <c r="F33" s="748"/>
      <c r="G33" s="748"/>
      <c r="H33" s="748"/>
      <c r="I33" s="749"/>
      <c r="J33" s="35"/>
      <c r="K33" s="8"/>
    </row>
    <row r="34" spans="1:17" ht="20.100000000000001" customHeight="1" x14ac:dyDescent="0.3">
      <c r="B34" s="743"/>
      <c r="C34" s="29"/>
      <c r="D34" s="752"/>
      <c r="E34" s="753"/>
      <c r="F34" s="753"/>
      <c r="G34" s="753"/>
      <c r="H34" s="753"/>
      <c r="I34" s="754"/>
      <c r="J34" s="33"/>
      <c r="K34" s="8"/>
    </row>
    <row r="35" spans="1:17" ht="20.100000000000001" customHeight="1" x14ac:dyDescent="0.3">
      <c r="B35" s="743"/>
      <c r="C35" s="69" t="s">
        <v>49</v>
      </c>
      <c r="D35" s="750"/>
      <c r="E35" s="726"/>
      <c r="F35" s="726"/>
      <c r="G35" s="726"/>
      <c r="H35" s="726"/>
      <c r="I35" s="727"/>
      <c r="J35" s="34"/>
      <c r="K35" s="8"/>
    </row>
    <row r="36" spans="1:17" ht="20.100000000000001" customHeight="1" x14ac:dyDescent="0.3">
      <c r="B36" s="743"/>
      <c r="C36" s="21"/>
      <c r="D36" s="725"/>
      <c r="E36" s="726"/>
      <c r="F36" s="726"/>
      <c r="G36" s="726"/>
      <c r="H36" s="726"/>
      <c r="I36" s="727"/>
      <c r="J36" s="35"/>
      <c r="K36" s="8"/>
    </row>
    <row r="37" spans="1:17" ht="20.100000000000001" customHeight="1" x14ac:dyDescent="0.3">
      <c r="B37" s="744"/>
      <c r="C37" s="67"/>
      <c r="D37" s="751"/>
      <c r="E37" s="748"/>
      <c r="F37" s="748"/>
      <c r="G37" s="748"/>
      <c r="H37" s="748"/>
      <c r="I37" s="749"/>
      <c r="J37" s="35"/>
      <c r="K37" s="8"/>
    </row>
    <row r="38" spans="1:17" ht="20.100000000000001" customHeight="1" x14ac:dyDescent="0.3">
      <c r="B38" s="745" t="s">
        <v>50</v>
      </c>
      <c r="C38" s="68" t="s">
        <v>3</v>
      </c>
      <c r="D38" s="752"/>
      <c r="E38" s="753"/>
      <c r="F38" s="753"/>
      <c r="G38" s="753"/>
      <c r="H38" s="753"/>
      <c r="I38" s="754"/>
      <c r="J38" s="33"/>
      <c r="K38" s="8"/>
    </row>
    <row r="39" spans="1:17" ht="20.100000000000001" customHeight="1" x14ac:dyDescent="0.3">
      <c r="B39" s="743"/>
      <c r="C39" s="20">
        <v>1</v>
      </c>
      <c r="D39" s="750"/>
      <c r="E39" s="726"/>
      <c r="F39" s="726"/>
      <c r="G39" s="726"/>
      <c r="H39" s="726"/>
      <c r="I39" s="727"/>
      <c r="J39" s="34"/>
      <c r="K39" s="8"/>
    </row>
    <row r="40" spans="1:17" ht="20.100000000000001" customHeight="1" x14ac:dyDescent="0.3">
      <c r="B40" s="743"/>
      <c r="C40" s="21" t="str">
        <f>IF(C39=1,"[조용환+]",IF(C39=2,"[한만석+]",IF(C39=3,"[남정현+]",IF(C39=4,"[김광표+]","???"))))</f>
        <v>[조용환+]</v>
      </c>
      <c r="D40" s="725"/>
      <c r="E40" s="726"/>
      <c r="F40" s="726"/>
      <c r="G40" s="726"/>
      <c r="H40" s="726"/>
      <c r="I40" s="727"/>
      <c r="J40" s="35"/>
      <c r="K40" s="8"/>
    </row>
    <row r="41" spans="1:17" ht="20.100000000000001" customHeight="1" x14ac:dyDescent="0.3">
      <c r="B41" s="743"/>
      <c r="C41" s="13"/>
      <c r="D41" s="725"/>
      <c r="E41" s="726"/>
      <c r="F41" s="726"/>
      <c r="G41" s="726"/>
      <c r="H41" s="726"/>
      <c r="I41" s="727"/>
      <c r="J41" s="35"/>
      <c r="K41" s="8"/>
    </row>
    <row r="42" spans="1:17" ht="20.100000000000001" customHeight="1" x14ac:dyDescent="0.3">
      <c r="A42" s="13"/>
      <c r="B42" s="743"/>
      <c r="C42" s="13"/>
      <c r="D42" s="725"/>
      <c r="E42" s="726"/>
      <c r="F42" s="726"/>
      <c r="G42" s="726"/>
      <c r="H42" s="726"/>
      <c r="I42" s="727"/>
      <c r="J42" s="35"/>
      <c r="K42" s="8"/>
      <c r="L42" s="10"/>
      <c r="M42" s="10"/>
      <c r="N42" s="10"/>
      <c r="O42" s="10"/>
      <c r="P42" s="10"/>
      <c r="Q42" s="10"/>
    </row>
    <row r="43" spans="1:17" ht="20.100000000000001" customHeight="1" x14ac:dyDescent="0.3">
      <c r="A43" s="13"/>
      <c r="B43" s="743"/>
      <c r="C43" s="13"/>
      <c r="D43" s="725"/>
      <c r="E43" s="726"/>
      <c r="F43" s="726"/>
      <c r="G43" s="726"/>
      <c r="H43" s="726"/>
      <c r="I43" s="727"/>
      <c r="J43" s="35"/>
      <c r="K43" s="8"/>
      <c r="L43" s="10"/>
      <c r="M43" s="10"/>
      <c r="N43" s="10"/>
      <c r="O43" s="10"/>
      <c r="P43" s="10"/>
      <c r="Q43" s="10"/>
    </row>
    <row r="44" spans="1:17" ht="20.100000000000001" customHeight="1" x14ac:dyDescent="0.3">
      <c r="A44" s="13"/>
      <c r="B44" s="743"/>
      <c r="C44" s="19"/>
      <c r="D44" s="747"/>
      <c r="E44" s="748"/>
      <c r="F44" s="748"/>
      <c r="G44" s="748"/>
      <c r="H44" s="748"/>
      <c r="I44" s="749"/>
      <c r="J44" s="36"/>
      <c r="K44" s="8"/>
      <c r="L44" s="10"/>
      <c r="M44" s="10"/>
      <c r="N44" s="10"/>
      <c r="O44" s="10"/>
      <c r="P44" s="10"/>
      <c r="Q44" s="10"/>
    </row>
    <row r="45" spans="1:17" ht="20.100000000000001" customHeight="1" x14ac:dyDescent="0.3">
      <c r="A45" s="13"/>
      <c r="B45" s="743"/>
      <c r="C45" s="22" t="s">
        <v>8</v>
      </c>
      <c r="D45" s="752"/>
      <c r="E45" s="753"/>
      <c r="F45" s="753"/>
      <c r="G45" s="753"/>
      <c r="H45" s="753"/>
      <c r="I45" s="754"/>
      <c r="J45" s="33"/>
      <c r="K45" s="8"/>
      <c r="L45" s="10"/>
      <c r="M45" s="10"/>
      <c r="N45" s="10"/>
      <c r="O45" s="10"/>
      <c r="P45" s="10"/>
      <c r="Q45" s="10"/>
    </row>
    <row r="46" spans="1:17" ht="20.100000000000001" customHeight="1" x14ac:dyDescent="0.3">
      <c r="A46" s="13"/>
      <c r="B46" s="743"/>
      <c r="C46" s="20">
        <v>2</v>
      </c>
      <c r="D46" s="750"/>
      <c r="E46" s="726"/>
      <c r="F46" s="726"/>
      <c r="G46" s="726"/>
      <c r="H46" s="726"/>
      <c r="I46" s="727"/>
      <c r="J46" s="34"/>
      <c r="K46" s="8"/>
      <c r="L46" s="10"/>
      <c r="M46" s="10"/>
      <c r="N46" s="10"/>
      <c r="O46" s="10"/>
      <c r="P46" s="10"/>
      <c r="Q46" s="10"/>
    </row>
    <row r="47" spans="1:17" ht="20.100000000000001" customHeight="1" x14ac:dyDescent="0.3">
      <c r="A47" s="13"/>
      <c r="B47" s="743"/>
      <c r="C47" s="21" t="str">
        <f>IF(C46=1,"[조용환+]",IF(C46=2,"[한만석+]",IF(C46=3,"[남정현+]",IF(C46=4,"[김광표+]","???"))))</f>
        <v>[한만석+]</v>
      </c>
      <c r="D47" s="725"/>
      <c r="E47" s="726"/>
      <c r="F47" s="726"/>
      <c r="G47" s="726"/>
      <c r="H47" s="726"/>
      <c r="I47" s="727"/>
      <c r="J47" s="35"/>
      <c r="K47" s="8"/>
      <c r="L47" s="10"/>
      <c r="M47" s="10"/>
      <c r="N47" s="10"/>
      <c r="O47" s="10"/>
      <c r="P47" s="10"/>
      <c r="Q47" s="10"/>
    </row>
    <row r="48" spans="1:17" ht="20.100000000000001" customHeight="1" x14ac:dyDescent="0.3">
      <c r="A48" s="13"/>
      <c r="B48" s="743"/>
      <c r="C48" s="13"/>
      <c r="D48" s="725"/>
      <c r="E48" s="726"/>
      <c r="F48" s="726"/>
      <c r="G48" s="726"/>
      <c r="H48" s="726"/>
      <c r="I48" s="727"/>
      <c r="J48" s="35"/>
      <c r="K48" s="8"/>
      <c r="L48" s="10"/>
      <c r="M48" s="10"/>
      <c r="N48" s="10"/>
      <c r="O48" s="10"/>
      <c r="P48" s="10"/>
      <c r="Q48" s="10"/>
    </row>
    <row r="49" spans="1:17" ht="20.100000000000001" customHeight="1" x14ac:dyDescent="0.3">
      <c r="A49" s="13"/>
      <c r="B49" s="743"/>
      <c r="C49" s="13"/>
      <c r="D49" s="725"/>
      <c r="E49" s="726"/>
      <c r="F49" s="726"/>
      <c r="G49" s="726"/>
      <c r="H49" s="726"/>
      <c r="I49" s="727"/>
      <c r="J49" s="35"/>
      <c r="K49" s="8"/>
      <c r="L49" s="10"/>
      <c r="M49" s="10"/>
      <c r="N49" s="10"/>
      <c r="O49" s="10"/>
      <c r="P49" s="10"/>
      <c r="Q49" s="10"/>
    </row>
    <row r="50" spans="1:17" ht="20.100000000000001" customHeight="1" x14ac:dyDescent="0.3">
      <c r="A50" s="13"/>
      <c r="B50" s="743"/>
      <c r="C50" s="13"/>
      <c r="D50" s="725"/>
      <c r="E50" s="726"/>
      <c r="F50" s="726"/>
      <c r="G50" s="726"/>
      <c r="H50" s="726"/>
      <c r="I50" s="727"/>
      <c r="J50" s="35"/>
      <c r="K50" s="8"/>
      <c r="L50" s="10"/>
      <c r="M50" s="10"/>
      <c r="N50" s="10"/>
      <c r="O50" s="10"/>
      <c r="P50" s="10"/>
      <c r="Q50" s="10"/>
    </row>
    <row r="51" spans="1:17" ht="20.100000000000001" customHeight="1" thickBot="1" x14ac:dyDescent="0.35">
      <c r="A51" s="13"/>
      <c r="B51" s="746"/>
      <c r="C51" s="25"/>
      <c r="D51" s="761"/>
      <c r="E51" s="762"/>
      <c r="F51" s="762"/>
      <c r="G51" s="762"/>
      <c r="H51" s="762"/>
      <c r="I51" s="763"/>
      <c r="J51" s="37"/>
      <c r="K51" s="8"/>
      <c r="L51" s="10"/>
      <c r="M51" s="10"/>
      <c r="N51" s="10"/>
      <c r="O51" s="10"/>
      <c r="P51" s="10"/>
      <c r="Q51" s="10"/>
    </row>
    <row r="52" spans="1:17" ht="20.100000000000001" customHeight="1" x14ac:dyDescent="0.3">
      <c r="A52" s="13"/>
      <c r="B52" s="23" t="s">
        <v>12</v>
      </c>
      <c r="C52" s="17"/>
      <c r="D52" s="17"/>
      <c r="E52" s="17"/>
      <c r="F52" s="17"/>
      <c r="G52" s="17"/>
      <c r="H52" s="17"/>
      <c r="I52" s="17"/>
      <c r="J52" s="17"/>
      <c r="K52" s="8"/>
      <c r="L52" s="10"/>
      <c r="M52" s="10"/>
      <c r="N52" s="10"/>
      <c r="O52" s="10"/>
      <c r="P52" s="10"/>
      <c r="Q52" s="10"/>
    </row>
    <row r="53" spans="1:17" ht="6" customHeight="1" x14ac:dyDescent="0.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8"/>
      <c r="L53" s="10"/>
      <c r="M53" s="10"/>
      <c r="N53" s="10"/>
      <c r="O53" s="10"/>
      <c r="P53" s="10"/>
      <c r="Q53" s="10"/>
    </row>
    <row r="54" spans="1:17" ht="18.75" customHeight="1" thickBot="1" x14ac:dyDescent="0.35">
      <c r="B54" s="1" t="s">
        <v>7</v>
      </c>
      <c r="C54" s="17"/>
      <c r="D54" s="17"/>
      <c r="E54" s="17"/>
      <c r="F54" s="17"/>
      <c r="G54" s="17"/>
      <c r="H54" s="17"/>
      <c r="I54" s="17"/>
      <c r="J54" s="18"/>
      <c r="K54" s="8"/>
      <c r="L54" s="10"/>
      <c r="M54" s="10"/>
      <c r="N54" s="10"/>
      <c r="O54" s="10"/>
      <c r="P54" s="10"/>
      <c r="Q54" s="10"/>
    </row>
    <row r="55" spans="1:17" ht="20.100000000000001" customHeight="1" x14ac:dyDescent="0.3">
      <c r="A55" s="38"/>
      <c r="B55" s="764"/>
      <c r="C55" s="765"/>
      <c r="D55" s="765"/>
      <c r="E55" s="765"/>
      <c r="F55" s="765"/>
      <c r="G55" s="765"/>
      <c r="H55" s="765"/>
      <c r="I55" s="765"/>
      <c r="J55" s="766"/>
      <c r="K55" s="39"/>
      <c r="L55" s="10"/>
      <c r="M55" s="10"/>
      <c r="N55" s="10"/>
      <c r="O55" s="10"/>
      <c r="P55" s="10"/>
      <c r="Q55" s="10"/>
    </row>
    <row r="56" spans="1:17" ht="20.100000000000001" customHeight="1" x14ac:dyDescent="0.3">
      <c r="A56" s="38"/>
      <c r="B56" s="767"/>
      <c r="C56" s="768"/>
      <c r="D56" s="768"/>
      <c r="E56" s="768"/>
      <c r="F56" s="768"/>
      <c r="G56" s="768"/>
      <c r="H56" s="768"/>
      <c r="I56" s="768"/>
      <c r="J56" s="769"/>
      <c r="K56" s="39"/>
      <c r="L56" s="10"/>
      <c r="M56" s="10"/>
      <c r="N56" s="10"/>
      <c r="O56" s="10"/>
      <c r="P56" s="10"/>
      <c r="Q56" s="10"/>
    </row>
    <row r="57" spans="1:17" ht="20.100000000000001" customHeight="1" x14ac:dyDescent="0.3">
      <c r="A57" s="38"/>
      <c r="B57" s="755"/>
      <c r="C57" s="756"/>
      <c r="D57" s="756"/>
      <c r="E57" s="756"/>
      <c r="F57" s="756"/>
      <c r="G57" s="756"/>
      <c r="H57" s="756"/>
      <c r="I57" s="756"/>
      <c r="J57" s="757"/>
      <c r="K57" s="39"/>
      <c r="L57" s="10"/>
      <c r="M57" s="10"/>
      <c r="N57" s="10"/>
      <c r="O57" s="10"/>
      <c r="P57" s="10"/>
      <c r="Q57" s="10"/>
    </row>
    <row r="58" spans="1:17" ht="20.100000000000001" customHeight="1" x14ac:dyDescent="0.3">
      <c r="A58" s="38"/>
      <c r="B58" s="755"/>
      <c r="C58" s="756"/>
      <c r="D58" s="756"/>
      <c r="E58" s="756"/>
      <c r="F58" s="756"/>
      <c r="G58" s="756"/>
      <c r="H58" s="756"/>
      <c r="I58" s="756"/>
      <c r="J58" s="757"/>
      <c r="K58" s="39"/>
      <c r="L58" s="10"/>
      <c r="M58" s="10"/>
      <c r="N58" s="10"/>
      <c r="O58" s="10"/>
      <c r="P58" s="10"/>
      <c r="Q58" s="10"/>
    </row>
    <row r="59" spans="1:17" ht="20.100000000000001" customHeight="1" x14ac:dyDescent="0.3">
      <c r="A59" s="38"/>
      <c r="B59" s="755"/>
      <c r="C59" s="756"/>
      <c r="D59" s="756"/>
      <c r="E59" s="756"/>
      <c r="F59" s="756"/>
      <c r="G59" s="756"/>
      <c r="H59" s="756"/>
      <c r="I59" s="756"/>
      <c r="J59" s="757"/>
      <c r="K59" s="38"/>
    </row>
    <row r="60" spans="1:17" ht="20.100000000000001" customHeight="1" thickBot="1" x14ac:dyDescent="0.35">
      <c r="A60" s="38"/>
      <c r="B60" s="758"/>
      <c r="C60" s="759"/>
      <c r="D60" s="759"/>
      <c r="E60" s="759"/>
      <c r="F60" s="759"/>
      <c r="G60" s="759"/>
      <c r="H60" s="759"/>
      <c r="I60" s="759"/>
      <c r="J60" s="760"/>
      <c r="K60" s="38"/>
    </row>
    <row r="61" spans="1:17" ht="5.25" customHeight="1" x14ac:dyDescent="0.3">
      <c r="B61" s="11"/>
      <c r="C61" s="11"/>
      <c r="D61" s="11"/>
      <c r="E61" s="11"/>
      <c r="F61" s="11"/>
      <c r="G61" s="11"/>
      <c r="H61" s="11"/>
      <c r="I61" s="11"/>
      <c r="J61" s="11"/>
    </row>
    <row r="62" spans="1:17" ht="24.95" customHeight="1" x14ac:dyDescent="0.3">
      <c r="B62" s="12"/>
      <c r="C62" s="12"/>
      <c r="D62" s="12"/>
      <c r="E62" s="12"/>
      <c r="F62" s="12"/>
      <c r="G62" s="12"/>
      <c r="H62" s="12"/>
      <c r="I62" s="12"/>
      <c r="J62" s="12"/>
    </row>
    <row r="63" spans="1:17" x14ac:dyDescent="0.3">
      <c r="B63" s="13"/>
      <c r="C63" s="13"/>
      <c r="D63" s="13"/>
      <c r="E63" s="13"/>
      <c r="F63" s="13"/>
      <c r="G63" s="13"/>
      <c r="H63" s="13"/>
      <c r="I63" s="13"/>
      <c r="J63" s="13"/>
    </row>
    <row r="64" spans="1:17" ht="24.95" customHeight="1" x14ac:dyDescent="0.3">
      <c r="B64" s="13"/>
      <c r="C64" s="770"/>
      <c r="D64" s="770"/>
      <c r="E64" s="770"/>
      <c r="F64" s="770"/>
      <c r="G64" s="770"/>
      <c r="H64" s="770"/>
      <c r="I64" s="13"/>
      <c r="J64" s="13"/>
    </row>
    <row r="65" spans="2:10" ht="24.95" customHeight="1" x14ac:dyDescent="0.3">
      <c r="B65" s="13"/>
      <c r="C65" s="14"/>
      <c r="D65" s="14"/>
      <c r="E65" s="14"/>
      <c r="F65" s="14"/>
      <c r="G65" s="14"/>
      <c r="H65" s="14"/>
      <c r="I65" s="13"/>
      <c r="J65" s="13"/>
    </row>
    <row r="66" spans="2:10" x14ac:dyDescent="0.3">
      <c r="B66" s="13"/>
      <c r="C66" s="13"/>
      <c r="D66" s="13"/>
      <c r="E66" s="13"/>
      <c r="F66" s="13"/>
      <c r="G66" s="13"/>
      <c r="H66" s="13"/>
      <c r="I66" s="13"/>
      <c r="J66" s="13"/>
    </row>
    <row r="67" spans="2:10" ht="24.95" customHeight="1" x14ac:dyDescent="0.3">
      <c r="B67" s="13"/>
      <c r="C67" s="770"/>
      <c r="D67" s="770"/>
      <c r="E67" s="770"/>
      <c r="F67" s="770"/>
      <c r="G67" s="770"/>
      <c r="H67" s="770"/>
      <c r="I67" s="13"/>
      <c r="J67" s="13"/>
    </row>
    <row r="68" spans="2:10" x14ac:dyDescent="0.3">
      <c r="B68" s="13"/>
      <c r="C68" s="13"/>
      <c r="D68" s="13"/>
      <c r="E68" s="13"/>
      <c r="F68" s="13"/>
      <c r="G68" s="13"/>
      <c r="H68" s="13"/>
      <c r="I68" s="13"/>
      <c r="J68" s="13"/>
    </row>
    <row r="69" spans="2:10" ht="24.95" customHeight="1" x14ac:dyDescent="0.3">
      <c r="B69" s="13"/>
      <c r="C69" s="13"/>
      <c r="D69" s="13"/>
      <c r="E69" s="14"/>
      <c r="F69" s="14"/>
      <c r="G69" s="14"/>
      <c r="H69" s="14"/>
      <c r="I69" s="14"/>
      <c r="J69" s="14"/>
    </row>
    <row r="70" spans="2:10" x14ac:dyDescent="0.3">
      <c r="B70" s="13"/>
      <c r="C70" s="13"/>
      <c r="D70" s="13"/>
      <c r="E70" s="13"/>
      <c r="F70" s="13"/>
      <c r="G70" s="13"/>
      <c r="H70" s="13"/>
      <c r="I70" s="13"/>
      <c r="J70" s="13"/>
    </row>
    <row r="71" spans="2:10" ht="24.95" customHeight="1" x14ac:dyDescent="0.3">
      <c r="B71" s="13"/>
      <c r="C71" s="13"/>
      <c r="D71" s="14"/>
      <c r="E71" s="14"/>
      <c r="F71" s="14"/>
      <c r="G71" s="14"/>
      <c r="H71" s="14"/>
      <c r="I71" s="14"/>
      <c r="J71" s="13"/>
    </row>
    <row r="72" spans="2:10" x14ac:dyDescent="0.3">
      <c r="B72" s="13"/>
      <c r="C72" s="13"/>
      <c r="D72" s="13"/>
      <c r="E72" s="13"/>
      <c r="F72" s="13"/>
      <c r="G72" s="13"/>
      <c r="H72" s="13"/>
      <c r="I72" s="13"/>
      <c r="J72" s="13"/>
    </row>
    <row r="73" spans="2:10" ht="24.95" customHeight="1" x14ac:dyDescent="0.3">
      <c r="B73" s="13"/>
      <c r="C73" s="13"/>
      <c r="D73" s="14"/>
      <c r="E73" s="14"/>
      <c r="F73" s="14"/>
      <c r="G73" s="14"/>
      <c r="H73" s="14"/>
      <c r="I73" s="14"/>
      <c r="J73" s="13"/>
    </row>
    <row r="74" spans="2:10" x14ac:dyDescent="0.3">
      <c r="B74" s="13"/>
      <c r="C74" s="13"/>
      <c r="D74" s="13"/>
      <c r="E74" s="13"/>
      <c r="F74" s="13"/>
      <c r="G74" s="13"/>
      <c r="H74" s="13"/>
      <c r="I74" s="13"/>
      <c r="J74" s="13"/>
    </row>
    <row r="75" spans="2:10" x14ac:dyDescent="0.3">
      <c r="B75" s="13"/>
      <c r="C75" s="13"/>
      <c r="D75" s="13"/>
      <c r="E75" s="13"/>
      <c r="F75" s="13"/>
      <c r="G75" s="13"/>
      <c r="H75" s="13"/>
      <c r="I75" s="13"/>
      <c r="J75" s="13"/>
    </row>
    <row r="76" spans="2:10" x14ac:dyDescent="0.3">
      <c r="B76" s="13"/>
      <c r="C76" s="13"/>
      <c r="D76" s="13"/>
      <c r="E76" s="13"/>
      <c r="F76" s="13"/>
      <c r="G76" s="13"/>
      <c r="H76" s="13"/>
      <c r="I76" s="13"/>
      <c r="J76" s="13"/>
    </row>
    <row r="77" spans="2:10" x14ac:dyDescent="0.3">
      <c r="B77" s="13"/>
      <c r="C77" s="13"/>
      <c r="D77" s="13"/>
      <c r="E77" s="13"/>
      <c r="F77" s="13"/>
      <c r="G77" s="13"/>
      <c r="H77" s="13"/>
      <c r="I77" s="13"/>
      <c r="J77" s="13"/>
    </row>
    <row r="78" spans="2:10" x14ac:dyDescent="0.3">
      <c r="B78" s="13"/>
      <c r="C78" s="13"/>
      <c r="D78" s="13"/>
      <c r="E78" s="13"/>
      <c r="F78" s="13"/>
      <c r="G78" s="13"/>
      <c r="H78" s="13"/>
      <c r="I78" s="13"/>
      <c r="J78" s="13"/>
    </row>
    <row r="79" spans="2:10" x14ac:dyDescent="0.3">
      <c r="B79" s="13"/>
      <c r="C79" s="13"/>
      <c r="D79" s="13"/>
      <c r="E79" s="13"/>
      <c r="F79" s="13"/>
      <c r="G79" s="13"/>
      <c r="H79" s="13"/>
      <c r="I79" s="13"/>
      <c r="J79" s="13"/>
    </row>
    <row r="80" spans="2:10" x14ac:dyDescent="0.3">
      <c r="B80" s="13"/>
      <c r="C80" s="13"/>
      <c r="D80" s="13"/>
      <c r="E80" s="13"/>
      <c r="F80" s="13"/>
      <c r="G80" s="13"/>
      <c r="H80" s="13"/>
      <c r="I80" s="13"/>
      <c r="J80" s="13"/>
    </row>
    <row r="81" spans="2:10" x14ac:dyDescent="0.3">
      <c r="B81" s="13"/>
      <c r="C81" s="13"/>
      <c r="D81" s="13"/>
      <c r="E81" s="13"/>
      <c r="F81" s="13"/>
      <c r="G81" s="13"/>
      <c r="H81" s="13"/>
      <c r="I81" s="13"/>
      <c r="J81" s="13"/>
    </row>
    <row r="82" spans="2:10" x14ac:dyDescent="0.3">
      <c r="B82" s="13"/>
      <c r="C82" s="13"/>
      <c r="D82" s="13"/>
      <c r="E82" s="13"/>
      <c r="F82" s="13"/>
      <c r="G82" s="13"/>
      <c r="H82" s="13"/>
      <c r="I82" s="13"/>
      <c r="J82" s="13"/>
    </row>
    <row r="83" spans="2:10" x14ac:dyDescent="0.3">
      <c r="B83" s="13"/>
      <c r="C83" s="13"/>
      <c r="D83" s="13"/>
      <c r="E83" s="13"/>
      <c r="F83" s="13"/>
      <c r="G83" s="13"/>
      <c r="H83" s="13"/>
      <c r="I83" s="13"/>
      <c r="J83" s="13"/>
    </row>
    <row r="84" spans="2:10" x14ac:dyDescent="0.3">
      <c r="B84" s="13"/>
      <c r="C84" s="13"/>
      <c r="D84" s="13"/>
      <c r="E84" s="13"/>
      <c r="F84" s="13"/>
      <c r="G84" s="13"/>
      <c r="H84" s="13"/>
      <c r="I84" s="13"/>
      <c r="J84" s="13"/>
    </row>
    <row r="85" spans="2:10" x14ac:dyDescent="0.3">
      <c r="B85" s="13"/>
      <c r="C85" s="13"/>
      <c r="D85" s="13"/>
      <c r="E85" s="13"/>
      <c r="F85" s="13"/>
      <c r="G85" s="13"/>
      <c r="H85" s="13"/>
      <c r="I85" s="13"/>
      <c r="J85" s="13"/>
    </row>
    <row r="86" spans="2:10" x14ac:dyDescent="0.3">
      <c r="B86" s="13"/>
      <c r="C86" s="13"/>
      <c r="D86" s="13"/>
      <c r="E86" s="13"/>
      <c r="F86" s="13"/>
      <c r="G86" s="13"/>
      <c r="H86" s="13"/>
      <c r="I86" s="13"/>
      <c r="J86" s="13"/>
    </row>
    <row r="87" spans="2:10" x14ac:dyDescent="0.3">
      <c r="B87" s="13"/>
      <c r="C87" s="13"/>
      <c r="D87" s="13"/>
      <c r="E87" s="13"/>
      <c r="F87" s="13"/>
      <c r="G87" s="13"/>
      <c r="H87" s="13"/>
      <c r="I87" s="13"/>
      <c r="J87" s="13"/>
    </row>
    <row r="88" spans="2:10" x14ac:dyDescent="0.3">
      <c r="B88" s="13"/>
      <c r="C88" s="13"/>
      <c r="D88" s="13"/>
      <c r="E88" s="13"/>
      <c r="F88" s="13"/>
      <c r="G88" s="13"/>
      <c r="H88" s="13"/>
      <c r="I88" s="13"/>
      <c r="J88" s="13"/>
    </row>
    <row r="89" spans="2:10" x14ac:dyDescent="0.3">
      <c r="B89" s="13"/>
      <c r="C89" s="13"/>
      <c r="D89" s="13"/>
      <c r="E89" s="13"/>
      <c r="F89" s="13"/>
      <c r="G89" s="13"/>
      <c r="H89" s="13"/>
      <c r="I89" s="13"/>
      <c r="J89" s="13"/>
    </row>
    <row r="90" spans="2:10" x14ac:dyDescent="0.3">
      <c r="B90" s="13"/>
      <c r="C90" s="13"/>
      <c r="D90" s="13"/>
      <c r="E90" s="13"/>
      <c r="F90" s="13"/>
      <c r="G90" s="13"/>
      <c r="H90" s="13"/>
      <c r="I90" s="13"/>
      <c r="J90" s="13"/>
    </row>
    <row r="91" spans="2:10" x14ac:dyDescent="0.3">
      <c r="B91" s="13"/>
      <c r="C91" s="13"/>
      <c r="D91" s="13"/>
      <c r="E91" s="13"/>
      <c r="F91" s="13"/>
      <c r="G91" s="13"/>
      <c r="H91" s="13"/>
      <c r="I91" s="13"/>
      <c r="J91" s="13"/>
    </row>
  </sheetData>
  <mergeCells count="55">
    <mergeCell ref="B10:J10"/>
    <mergeCell ref="B11:J11"/>
    <mergeCell ref="B12:J12"/>
    <mergeCell ref="D18:I18"/>
    <mergeCell ref="D19:I19"/>
    <mergeCell ref="B13:J13"/>
    <mergeCell ref="B16:J16"/>
    <mergeCell ref="B18:B37"/>
    <mergeCell ref="D20:I20"/>
    <mergeCell ref="D21:I21"/>
    <mergeCell ref="D22:I22"/>
    <mergeCell ref="D23:I23"/>
    <mergeCell ref="D24:I24"/>
    <mergeCell ref="D27:I27"/>
    <mergeCell ref="D33:I33"/>
    <mergeCell ref="D25:I25"/>
    <mergeCell ref="B9:J9"/>
    <mergeCell ref="B2:J2"/>
    <mergeCell ref="B3:H3"/>
    <mergeCell ref="B6:J6"/>
    <mergeCell ref="B7:J7"/>
    <mergeCell ref="B8:J8"/>
    <mergeCell ref="B38:B51"/>
    <mergeCell ref="C64:H64"/>
    <mergeCell ref="D51:I51"/>
    <mergeCell ref="D40:I40"/>
    <mergeCell ref="D41:I41"/>
    <mergeCell ref="D44:I44"/>
    <mergeCell ref="D45:I45"/>
    <mergeCell ref="D38:I38"/>
    <mergeCell ref="D46:I46"/>
    <mergeCell ref="D47:I47"/>
    <mergeCell ref="D48:I48"/>
    <mergeCell ref="D42:I42"/>
    <mergeCell ref="D43:I43"/>
    <mergeCell ref="D49:I49"/>
    <mergeCell ref="D50:I50"/>
    <mergeCell ref="C67:H67"/>
    <mergeCell ref="B55:J55"/>
    <mergeCell ref="B56:J56"/>
    <mergeCell ref="B57:J57"/>
    <mergeCell ref="B58:J58"/>
    <mergeCell ref="B59:J59"/>
    <mergeCell ref="B60:J60"/>
    <mergeCell ref="D26:I26"/>
    <mergeCell ref="D39:I39"/>
    <mergeCell ref="D32:I32"/>
    <mergeCell ref="D34:I34"/>
    <mergeCell ref="D35:I35"/>
    <mergeCell ref="D36:I36"/>
    <mergeCell ref="D37:I37"/>
    <mergeCell ref="D28:I28"/>
    <mergeCell ref="D29:I29"/>
    <mergeCell ref="D30:I30"/>
    <mergeCell ref="D31:I31"/>
  </mergeCells>
  <phoneticPr fontId="1" type="noConversion"/>
  <printOptions horizontalCentered="1"/>
  <pageMargins left="0.59055118110236227" right="0.59055118110236227" top="0.59055118110236227" bottom="0.19685039370078741" header="0.78740157480314965" footer="0.11811023622047245"/>
  <pageSetup paperSize="9" scale="66" fitToHeight="99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39</vt:i4>
      </vt:variant>
      <vt:variant>
        <vt:lpstr>이름이 지정된 범위</vt:lpstr>
      </vt:variant>
      <vt:variant>
        <vt:i4>68</vt:i4>
      </vt:variant>
    </vt:vector>
  </HeadingPairs>
  <TitlesOfParts>
    <vt:vector size="107" baseType="lpstr">
      <vt:lpstr>팀업무분장 상세(24.12.16)</vt:lpstr>
      <vt:lpstr>팀업무분장(25.09.01)</vt:lpstr>
      <vt:lpstr>팀업무분장 보고용(25.09.01)</vt:lpstr>
      <vt:lpstr>운전_업무분장(7)_old</vt:lpstr>
      <vt:lpstr>팀업무분장(26.01.15)</vt:lpstr>
      <vt:lpstr>주요Issue</vt:lpstr>
      <vt:lpstr>설비운영팀 26년 월별업무</vt:lpstr>
      <vt:lpstr>설비 정기점검&amp;교체운전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'01'!Consolidate_Area</vt:lpstr>
      <vt:lpstr>'02'!Consolidate_Area</vt:lpstr>
      <vt:lpstr>'03'!Consolidate_Area</vt:lpstr>
      <vt:lpstr>'04'!Consolidate_Area</vt:lpstr>
      <vt:lpstr>'05'!Consolidate_Area</vt:lpstr>
      <vt:lpstr>'06'!Consolidate_Area</vt:lpstr>
      <vt:lpstr>'07'!Consolidate_Area</vt:lpstr>
      <vt:lpstr>'08'!Consolidate_Area</vt:lpstr>
      <vt:lpstr>'09'!Consolidate_Area</vt:lpstr>
      <vt:lpstr>'10'!Consolidate_Area</vt:lpstr>
      <vt:lpstr>'11'!Consolidate_Area</vt:lpstr>
      <vt:lpstr>'12'!Consolidate_Area</vt:lpstr>
      <vt:lpstr>'13'!Consolidate_Area</vt:lpstr>
      <vt:lpstr>'14'!Consolidate_Area</vt:lpstr>
      <vt:lpstr>'15'!Consolidate_Area</vt:lpstr>
      <vt:lpstr>'16'!Consolidate_Area</vt:lpstr>
      <vt:lpstr>'17'!Consolidate_Area</vt:lpstr>
      <vt:lpstr>'18'!Consolidate_Area</vt:lpstr>
      <vt:lpstr>'19'!Consolidate_Area</vt:lpstr>
      <vt:lpstr>'20'!Consolidate_Area</vt:lpstr>
      <vt:lpstr>'21'!Consolidate_Area</vt:lpstr>
      <vt:lpstr>'22'!Consolidate_Area</vt:lpstr>
      <vt:lpstr>'23'!Consolidate_Area</vt:lpstr>
      <vt:lpstr>'24'!Consolidate_Area</vt:lpstr>
      <vt:lpstr>'25'!Consolidate_Area</vt:lpstr>
      <vt:lpstr>'26'!Consolidate_Area</vt:lpstr>
      <vt:lpstr>'27'!Consolidate_Area</vt:lpstr>
      <vt:lpstr>'28'!Consolidate_Area</vt:lpstr>
      <vt:lpstr>'29'!Consolidate_Area</vt:lpstr>
      <vt:lpstr>'30'!Consolidate_Area</vt:lpstr>
      <vt:lpstr>'31'!Consolidate_Area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'운전_업무분장(7)_old'!Print_Area</vt:lpstr>
      <vt:lpstr>'팀업무분장 보고용(25.09.01)'!Print_Area</vt:lpstr>
      <vt:lpstr>'팀업무분장 상세(24.12.16)'!Print_Area</vt:lpstr>
      <vt:lpstr>'팀업무분장(25.09.01)'!Print_Area</vt:lpstr>
      <vt:lpstr>'팀업무분장(26.01.15)'!Print_Area</vt:lpstr>
      <vt:lpstr>'팀업무분장 보고용(25.09.01)'!Print_Titles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우리집</dc:creator>
  <cp:lastModifiedBy>GSENR</cp:lastModifiedBy>
  <cp:lastPrinted>2024-11-26T04:21:31Z</cp:lastPrinted>
  <dcterms:created xsi:type="dcterms:W3CDTF">2019-10-06T00:13:49Z</dcterms:created>
  <dcterms:modified xsi:type="dcterms:W3CDTF">2026-09-18T09:43:00Z</dcterms:modified>
</cp:coreProperties>
</file>