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NAVER WORKS Drive\. Shared_folder\설비운영팀@rzVq8tEHfqXCWmnOks5\31. Log sheet, 각종점검표, 업무일지\LOG SHEET 복원 (23.01.10)\"/>
    </mc:Choice>
  </mc:AlternateContent>
  <bookViews>
    <workbookView xWindow="600" yWindow="1125" windowWidth="24240" windowHeight="11490"/>
  </bookViews>
  <sheets>
    <sheet name="전기 Sheet" sheetId="12" r:id="rId1"/>
    <sheet name="야간 순찰 점검일지 양식" sheetId="9" r:id="rId2"/>
    <sheet name="랜덤" sheetId="11" state="hidden" r:id="rId3"/>
  </sheets>
  <definedNames>
    <definedName name="_xlnm._FilterDatabase" localSheetId="2" hidden="1">랜덤!$A$1:$K$90</definedName>
    <definedName name="_xlnm.Print_Area" localSheetId="1">'야간 순찰 점검일지 양식'!$A$1:$I$34</definedName>
    <definedName name="_xlnm.Print_Area" localSheetId="0">'전기 Sheet'!$A$1:$V$48</definedName>
  </definedNames>
  <calcPr calcId="162913"/>
</workbook>
</file>

<file path=xl/calcChain.xml><?xml version="1.0" encoding="utf-8"?>
<calcChain xmlns="http://schemas.openxmlformats.org/spreadsheetml/2006/main">
  <c r="D24" i="9" l="1"/>
  <c r="D18" i="9"/>
  <c r="D12" i="9"/>
  <c r="D6" i="9"/>
  <c r="K13" i="11" l="1"/>
  <c r="K58" i="11"/>
  <c r="K30" i="11"/>
  <c r="K48" i="11"/>
  <c r="K78" i="11"/>
  <c r="K53" i="11"/>
  <c r="K76" i="11"/>
  <c r="K74" i="11"/>
  <c r="K32" i="11"/>
  <c r="K37" i="11"/>
  <c r="K84" i="11"/>
  <c r="K34" i="11"/>
  <c r="K61" i="11"/>
  <c r="K31" i="11"/>
  <c r="K87" i="11"/>
  <c r="K49" i="11"/>
  <c r="K88" i="11"/>
  <c r="K16" i="11"/>
  <c r="K27" i="11"/>
  <c r="K73" i="11"/>
  <c r="K51" i="11"/>
  <c r="K39" i="11"/>
  <c r="K21" i="11"/>
  <c r="K81" i="11"/>
  <c r="K8" i="11"/>
  <c r="K42" i="11"/>
  <c r="K54" i="11"/>
  <c r="K59" i="11"/>
  <c r="K9" i="11"/>
  <c r="K4" i="11"/>
  <c r="K5" i="11"/>
  <c r="K72" i="11"/>
  <c r="K20" i="11"/>
  <c r="K36" i="11"/>
  <c r="K57" i="11"/>
  <c r="K64" i="11"/>
  <c r="K17" i="11"/>
  <c r="K52" i="11"/>
  <c r="K47" i="11"/>
  <c r="K7" i="11"/>
  <c r="K82" i="11"/>
  <c r="K67" i="11"/>
  <c r="K71" i="11"/>
  <c r="K69" i="11"/>
  <c r="K10" i="11"/>
  <c r="K40" i="11"/>
  <c r="K15" i="11"/>
  <c r="K70" i="11"/>
  <c r="K68" i="11"/>
  <c r="K83" i="11"/>
  <c r="K28" i="11"/>
  <c r="K11" i="11"/>
  <c r="K3" i="11"/>
  <c r="K77" i="11"/>
  <c r="K75" i="11"/>
  <c r="K24" i="11"/>
  <c r="K38" i="11"/>
  <c r="K79" i="11"/>
  <c r="K63" i="11"/>
  <c r="K90" i="11"/>
  <c r="K55" i="11"/>
  <c r="K60" i="11"/>
  <c r="K35" i="11"/>
  <c r="K6" i="11"/>
  <c r="K66" i="11"/>
  <c r="K80" i="11"/>
  <c r="K50" i="11"/>
  <c r="K44" i="11"/>
  <c r="K41" i="11"/>
  <c r="K89" i="11"/>
  <c r="K19" i="11"/>
  <c r="K29" i="11"/>
  <c r="K2" i="11"/>
  <c r="K22" i="11"/>
  <c r="K26" i="11"/>
  <c r="K56" i="11"/>
  <c r="K18" i="11"/>
  <c r="K14" i="11"/>
  <c r="K33" i="11"/>
  <c r="K46" i="11"/>
  <c r="K85" i="11"/>
  <c r="K12" i="11"/>
  <c r="K25" i="11"/>
  <c r="K45" i="11"/>
  <c r="K86" i="11"/>
  <c r="K62" i="11"/>
  <c r="K23" i="11"/>
  <c r="K43" i="11"/>
  <c r="K65" i="11"/>
  <c r="A65" i="11" l="1"/>
  <c r="A18" i="11"/>
  <c r="A90" i="11"/>
  <c r="A9" i="11"/>
  <c r="A12" i="11"/>
  <c r="A89" i="11"/>
  <c r="A6" i="11"/>
  <c r="A11" i="11"/>
  <c r="A40" i="11"/>
  <c r="A36" i="11"/>
  <c r="A59" i="11"/>
  <c r="A39" i="11"/>
  <c r="A3" i="11"/>
  <c r="A21" i="11"/>
  <c r="A85" i="11"/>
  <c r="A26" i="11"/>
  <c r="A41" i="11"/>
  <c r="A35" i="11"/>
  <c r="A38" i="11"/>
  <c r="A28" i="11"/>
  <c r="A25" i="11"/>
  <c r="A47" i="11"/>
  <c r="A20" i="11"/>
  <c r="A54" i="11"/>
  <c r="A51" i="11"/>
  <c r="A87" i="11"/>
  <c r="A32" i="11"/>
  <c r="A30" i="11"/>
  <c r="A82" i="11"/>
  <c r="A46" i="11"/>
  <c r="A60" i="11"/>
  <c r="A24" i="11"/>
  <c r="A83" i="11"/>
  <c r="A69" i="11"/>
  <c r="A52" i="11"/>
  <c r="A72" i="11"/>
  <c r="A42" i="11"/>
  <c r="A73" i="11"/>
  <c r="A31" i="11"/>
  <c r="A58" i="11"/>
  <c r="A63" i="11"/>
  <c r="A57" i="11"/>
  <c r="A23" i="11"/>
  <c r="A33" i="11"/>
  <c r="A48" i="11"/>
  <c r="A75" i="11"/>
  <c r="A71" i="11"/>
  <c r="A17" i="11"/>
  <c r="A5" i="11"/>
  <c r="A27" i="11"/>
  <c r="A76" i="11"/>
  <c r="A15" i="11"/>
  <c r="A88" i="11"/>
  <c r="A22" i="11"/>
  <c r="A45" i="11"/>
  <c r="A29" i="11"/>
  <c r="A77" i="11"/>
  <c r="A70" i="11"/>
  <c r="A64" i="11"/>
  <c r="A4" i="11"/>
  <c r="A81" i="11"/>
  <c r="A16" i="11"/>
  <c r="A34" i="11"/>
  <c r="A53" i="11"/>
  <c r="A74" i="11"/>
  <c r="A79" i="11"/>
  <c r="A67" i="11"/>
  <c r="A49" i="11"/>
  <c r="A37" i="11"/>
  <c r="A13" i="11"/>
  <c r="A84" i="11"/>
  <c r="A66" i="11"/>
  <c r="A80" i="11"/>
  <c r="A56" i="11"/>
  <c r="A50" i="11"/>
  <c r="A8" i="11"/>
  <c r="A61" i="11"/>
  <c r="A43" i="11"/>
  <c r="A7" i="11"/>
  <c r="A86" i="11"/>
  <c r="A62" i="11"/>
  <c r="A14" i="11"/>
  <c r="A55" i="11"/>
  <c r="A19" i="11"/>
  <c r="A78" i="11"/>
  <c r="A10" i="11"/>
  <c r="A68" i="11"/>
  <c r="A44" i="11"/>
  <c r="A2" i="11"/>
  <c r="E3" i="11" l="1"/>
  <c r="F7" i="9" s="1"/>
  <c r="E9" i="11"/>
  <c r="F14" i="9" s="1"/>
  <c r="E15" i="11"/>
  <c r="F21" i="9" s="1"/>
  <c r="E21" i="11"/>
  <c r="F28" i="9" s="1"/>
  <c r="E14" i="11"/>
  <c r="F20" i="9" s="1"/>
  <c r="E4" i="11"/>
  <c r="F8" i="9" s="1"/>
  <c r="E10" i="11"/>
  <c r="F15" i="9" s="1"/>
  <c r="E16" i="11"/>
  <c r="F22" i="9" s="1"/>
  <c r="E20" i="11"/>
  <c r="F27" i="9" s="1"/>
  <c r="E5" i="11"/>
  <c r="F9" i="9" s="1"/>
  <c r="E11" i="11"/>
  <c r="F16" i="9" s="1"/>
  <c r="E17" i="11"/>
  <c r="F24" i="9" s="1"/>
  <c r="E6" i="11"/>
  <c r="F10" i="9" s="1"/>
  <c r="E12" i="11"/>
  <c r="F18" i="9" s="1"/>
  <c r="E18" i="11"/>
  <c r="F25" i="9" s="1"/>
  <c r="E7" i="11"/>
  <c r="E13" i="11"/>
  <c r="E19" i="11"/>
  <c r="F26" i="9" s="1"/>
  <c r="E8" i="11"/>
  <c r="E2" i="11"/>
  <c r="F6" i="9" s="1"/>
  <c r="F17" i="9" l="1"/>
  <c r="F19" i="9"/>
  <c r="F11" i="9"/>
  <c r="F12" i="9"/>
  <c r="F23" i="9"/>
  <c r="F13" i="9"/>
</calcChain>
</file>

<file path=xl/sharedStrings.xml><?xml version="1.0" encoding="utf-8"?>
<sst xmlns="http://schemas.openxmlformats.org/spreadsheetml/2006/main" count="296" uniqueCount="198">
  <si>
    <t xml:space="preserve"> </t>
    <phoneticPr fontId="1" type="noConversion"/>
  </si>
  <si>
    <t>상 태</t>
    <phoneticPr fontId="1" type="noConversion"/>
  </si>
  <si>
    <t>시 간</t>
    <phoneticPr fontId="1" type="noConversion"/>
  </si>
  <si>
    <t>순찰 구역</t>
    <phoneticPr fontId="1" type="noConversion"/>
  </si>
  <si>
    <t>특이 사항</t>
    <phoneticPr fontId="1" type="noConversion"/>
  </si>
  <si>
    <t>야간 순찰 점검일지</t>
    <phoneticPr fontId="1" type="noConversion"/>
  </si>
  <si>
    <t xml:space="preserve">  설비운영팀     </t>
    <phoneticPr fontId="1" type="noConversion"/>
  </si>
  <si>
    <t>팀 장</t>
    <phoneticPr fontId="1" type="noConversion"/>
  </si>
  <si>
    <t>순찰자</t>
    <phoneticPr fontId="1" type="noConversion"/>
  </si>
  <si>
    <t>6.</t>
    <phoneticPr fontId="1" type="noConversion"/>
  </si>
  <si>
    <t>양호</t>
    <phoneticPr fontId="1" type="noConversion"/>
  </si>
  <si>
    <t>FBHE Blower/Seal Pot Blower 점검(1F)</t>
    <phoneticPr fontId="1" type="noConversion"/>
  </si>
  <si>
    <t>Limestone Blower/Bed Ash System 점검(1F)</t>
    <phoneticPr fontId="1" type="noConversion"/>
  </si>
  <si>
    <t>Air Comp Room 점검(Comp동 1,2F)</t>
    <phoneticPr fontId="1" type="noConversion"/>
  </si>
  <si>
    <t>PA/SA/ID Fan 점검(1F)</t>
    <phoneticPr fontId="1" type="noConversion"/>
  </si>
  <si>
    <t>SDA Lime Feeding Sys 점검(1F)</t>
    <phoneticPr fontId="1" type="noConversion"/>
  </si>
  <si>
    <t>Bag Filter Room 점검(1F)</t>
    <phoneticPr fontId="1" type="noConversion"/>
  </si>
  <si>
    <t>Fly Ash Silo Room 점검</t>
    <phoneticPr fontId="1" type="noConversion"/>
  </si>
  <si>
    <t>BFP 및 Co2 Room 점검(1F)</t>
    <phoneticPr fontId="1" type="noConversion"/>
  </si>
  <si>
    <t>Wall Screw Feeder / Bio Rotary Feeder 점검(3F)</t>
    <phoneticPr fontId="1" type="noConversion"/>
  </si>
  <si>
    <t>Start-Up Burner 점검(3F)</t>
    <phoneticPr fontId="1" type="noConversion"/>
  </si>
  <si>
    <t>Feed WTR LCV 및 Seal Pot 하부 점검(3.5F)</t>
    <phoneticPr fontId="1" type="noConversion"/>
  </si>
  <si>
    <t>Spiess Valve(L,R) 점검(4F)</t>
    <phoneticPr fontId="1" type="noConversion"/>
  </si>
  <si>
    <t>Coal Feeder Room 점검(4F)</t>
    <phoneticPr fontId="1" type="noConversion"/>
  </si>
  <si>
    <t>Bio Screw Feeder, Hopper Bin 점검(4.5F)</t>
    <phoneticPr fontId="1" type="noConversion"/>
  </si>
  <si>
    <t>Bio Feeding System 점검(Dosing, Slewing ..)(5F)</t>
    <phoneticPr fontId="1" type="noConversion"/>
  </si>
  <si>
    <t>Feed WTR Tank Area 점검(5F)</t>
    <phoneticPr fontId="1" type="noConversion"/>
  </si>
  <si>
    <t>Main Steam MOV Area 점검(4.5F)</t>
    <phoneticPr fontId="1" type="noConversion"/>
  </si>
  <si>
    <t>HP Bypass Valve 점검(6F)</t>
    <phoneticPr fontId="1" type="noConversion"/>
  </si>
  <si>
    <t>Deaerator 점검(6F)</t>
    <phoneticPr fontId="1" type="noConversion"/>
  </si>
  <si>
    <t>Cyclone Area 점검(6F)</t>
    <phoneticPr fontId="1" type="noConversion"/>
  </si>
  <si>
    <t>SCR Vaporizer 점검(6F)</t>
    <phoneticPr fontId="1" type="noConversion"/>
  </si>
  <si>
    <t>SCR Ammonia Feeding System 점검</t>
    <phoneticPr fontId="1" type="noConversion"/>
  </si>
  <si>
    <t>Bed Ash System 점검(3F)</t>
    <phoneticPr fontId="1" type="noConversion"/>
  </si>
  <si>
    <t>#6 Heater 점검(3F)</t>
    <phoneticPr fontId="1" type="noConversion"/>
  </si>
  <si>
    <t>#5 HTR 점검(2.5F)</t>
    <phoneticPr fontId="1" type="noConversion"/>
  </si>
  <si>
    <t>Steam Drum 점검(7F)</t>
    <phoneticPr fontId="1" type="noConversion"/>
  </si>
  <si>
    <t>Cyclone 상부 점검(7F)</t>
    <phoneticPr fontId="1" type="noConversion"/>
  </si>
  <si>
    <t>Atomizer Room 점검(7F)</t>
    <phoneticPr fontId="1" type="noConversion"/>
  </si>
  <si>
    <t>Bag Filter 상부 Room 점검</t>
    <phoneticPr fontId="1" type="noConversion"/>
  </si>
  <si>
    <t>Coal/Bio Daily Silo 상부 점검(7F)</t>
    <phoneticPr fontId="1" type="noConversion"/>
  </si>
  <si>
    <t>Bio Conveyor Take-up Pully 점검(7F)</t>
    <phoneticPr fontId="1" type="noConversion"/>
  </si>
  <si>
    <t>SDA 하부 Hopper Room 점검</t>
    <phoneticPr fontId="1" type="noConversion"/>
  </si>
  <si>
    <t>Coal Daily Silo Air Canon 및 Silo 온도 점검(5F)</t>
    <phoneticPr fontId="1" type="noConversion"/>
  </si>
  <si>
    <t>Soot Blower 점검(7F~3F)</t>
    <phoneticPr fontId="1" type="noConversion"/>
  </si>
  <si>
    <t>ECO Air Lock Feeder 점검(4F)</t>
    <phoneticPr fontId="1" type="noConversion"/>
  </si>
  <si>
    <t>T.A.H Air Lock Feeder 점검(1F)</t>
    <phoneticPr fontId="1" type="noConversion"/>
  </si>
  <si>
    <t>Bed Ash Cooler/Conveyor 점검(1F)</t>
    <phoneticPr fontId="1" type="noConversion"/>
  </si>
  <si>
    <t>FBHE 격벽 온도 점검(3F)</t>
    <phoneticPr fontId="1" type="noConversion"/>
  </si>
  <si>
    <t>BlowDown Tank 및 Sump 점검(1F)</t>
    <phoneticPr fontId="1" type="noConversion"/>
  </si>
  <si>
    <t>COP 점검</t>
    <phoneticPr fontId="1" type="noConversion"/>
  </si>
  <si>
    <t>West, East Sump Pit 및 Pump 점검</t>
    <phoneticPr fontId="1" type="noConversion"/>
  </si>
  <si>
    <t>CCFT Drain Pump 점검</t>
    <phoneticPr fontId="1" type="noConversion"/>
  </si>
  <si>
    <t>CCWP 점검</t>
    <phoneticPr fontId="1" type="noConversion"/>
  </si>
  <si>
    <t>CVP 점검</t>
    <phoneticPr fontId="1" type="noConversion"/>
  </si>
  <si>
    <t>Heater Emer LCV to Condenser Area 점검</t>
    <phoneticPr fontId="1" type="noConversion"/>
  </si>
  <si>
    <t>1층 전기실 점검</t>
    <phoneticPr fontId="1" type="noConversion"/>
  </si>
  <si>
    <t>Drain To CCFT 및 Flash Tank Area 점검</t>
    <phoneticPr fontId="1" type="noConversion"/>
  </si>
  <si>
    <t>#1, #2 #3 Heater, LP Header 점검</t>
    <phoneticPr fontId="1" type="noConversion"/>
  </si>
  <si>
    <t>TBN Lube, Contol Oil Sys 점검</t>
    <phoneticPr fontId="1" type="noConversion"/>
  </si>
  <si>
    <t>HP Process STM Line 점검</t>
    <phoneticPr fontId="1" type="noConversion"/>
  </si>
  <si>
    <t>TBN Bearing Oil Leak 여부 점검</t>
    <phoneticPr fontId="1" type="noConversion"/>
  </si>
  <si>
    <t>TBN 계측기 도압관 Leak 여부 점검</t>
    <phoneticPr fontId="1" type="noConversion"/>
  </si>
  <si>
    <t>지하 HVAC Room 공조기 및 Sump Pump 점검</t>
    <phoneticPr fontId="1" type="noConversion"/>
  </si>
  <si>
    <t>HRH to LP HDR PCV Air Tank 압력 및 Leak 여부 점검</t>
    <phoneticPr fontId="1" type="noConversion"/>
  </si>
  <si>
    <t>LP By-pass PCV Air Tank 압력 및 Leak 여부 점검</t>
    <phoneticPr fontId="1" type="noConversion"/>
  </si>
  <si>
    <t>TBN Vacuum Seal Water 상태 점검</t>
    <phoneticPr fontId="1" type="noConversion"/>
  </si>
  <si>
    <t>TBN CV Oil Leak 여부 점검</t>
    <phoneticPr fontId="1" type="noConversion"/>
  </si>
  <si>
    <t>실외기 상태 점검</t>
    <phoneticPr fontId="1" type="noConversion"/>
  </si>
  <si>
    <t>공조기 상태 점검</t>
    <phoneticPr fontId="1" type="noConversion"/>
  </si>
  <si>
    <t>Service Water Tank Area 점검</t>
    <phoneticPr fontId="1" type="noConversion"/>
  </si>
  <si>
    <t>제어실 및 전기실 점검</t>
    <phoneticPr fontId="1" type="noConversion"/>
  </si>
  <si>
    <t>Chemical Tank Area 점검</t>
    <phoneticPr fontId="1" type="noConversion"/>
  </si>
  <si>
    <t>Cooling Water Pump 전기실 점검</t>
    <phoneticPr fontId="1" type="noConversion"/>
  </si>
  <si>
    <t>ACWP, MCWP 점검</t>
    <phoneticPr fontId="1" type="noConversion"/>
  </si>
  <si>
    <t>Cooling Water Make Up Pump 점검</t>
    <phoneticPr fontId="1" type="noConversion"/>
  </si>
  <si>
    <t>배관망 Trap 응축수 상태 점검</t>
    <phoneticPr fontId="1" type="noConversion"/>
  </si>
  <si>
    <t>TBN AVR Room 점검</t>
    <phoneticPr fontId="1" type="noConversion"/>
  </si>
  <si>
    <t>Cooling Water Pump Room 점검</t>
    <phoneticPr fontId="1" type="noConversion"/>
  </si>
  <si>
    <t>Cooling Tower Showering 상태 점검</t>
    <phoneticPr fontId="1" type="noConversion"/>
  </si>
  <si>
    <t>Cooling Tower 옥상 Fan Motor 점검</t>
    <phoneticPr fontId="1" type="noConversion"/>
  </si>
  <si>
    <t>Cooling Tower Vaccum Pump Room 점검</t>
    <phoneticPr fontId="1" type="noConversion"/>
  </si>
  <si>
    <t>Demi WTR Pump 점검</t>
    <phoneticPr fontId="1" type="noConversion"/>
  </si>
  <si>
    <t>Condensate Make-Up Pump 점검</t>
    <phoneticPr fontId="1" type="noConversion"/>
  </si>
  <si>
    <t>Pin-Fan Cooler 점검</t>
    <phoneticPr fontId="1" type="noConversion"/>
  </si>
  <si>
    <t>SUT/GST/UAT 점검</t>
    <phoneticPr fontId="1" type="noConversion"/>
  </si>
  <si>
    <t>GIS Area 점검</t>
    <phoneticPr fontId="1" type="noConversion"/>
  </si>
  <si>
    <t>정압실 점검</t>
    <phoneticPr fontId="1" type="noConversion"/>
  </si>
  <si>
    <t>EDG Room 점검</t>
    <phoneticPr fontId="1" type="noConversion"/>
  </si>
  <si>
    <t>SDA 하부 배출설비 점검</t>
    <phoneticPr fontId="1" type="noConversion"/>
  </si>
  <si>
    <t>Chemical Injection System 점검(1F)</t>
    <phoneticPr fontId="1" type="noConversion"/>
  </si>
  <si>
    <t>Bed Vibrating Screen 점검(2.5F)</t>
    <phoneticPr fontId="1" type="noConversion"/>
  </si>
  <si>
    <t>Wall Screw Feeder Chute 열화 점검(2.5F)</t>
    <phoneticPr fontId="1" type="noConversion"/>
  </si>
  <si>
    <t>Sampling Rack 점검(1F)</t>
    <phoneticPr fontId="1" type="noConversion"/>
  </si>
  <si>
    <t>FBHE 하부 Hopper 점검(2.5F)</t>
    <phoneticPr fontId="1" type="noConversion"/>
  </si>
  <si>
    <t>Steam Coil Air Heater 점검(3F)</t>
    <phoneticPr fontId="1" type="noConversion"/>
  </si>
  <si>
    <t>Bed Material Make-up Bin 상부 점검(7F)</t>
    <phoneticPr fontId="1" type="noConversion"/>
  </si>
  <si>
    <t>Bed Material Make-up Bin 하부 점검(5F)</t>
    <phoneticPr fontId="1" type="noConversion"/>
  </si>
  <si>
    <t>Sonic Horn 점검(7F~8F)</t>
    <phoneticPr fontId="1" type="noConversion"/>
  </si>
  <si>
    <t>양호</t>
    <phoneticPr fontId="1" type="noConversion"/>
  </si>
  <si>
    <t>양호</t>
    <phoneticPr fontId="1" type="noConversion"/>
  </si>
  <si>
    <t xml:space="preserve"> </t>
    <phoneticPr fontId="1" type="noConversion"/>
  </si>
  <si>
    <t>s</t>
    <phoneticPr fontId="1" type="noConversion"/>
  </si>
  <si>
    <r>
      <t xml:space="preserve">  </t>
    </r>
    <r>
      <rPr>
        <b/>
        <u/>
        <sz val="12"/>
        <color theme="1"/>
        <rFont val="맑은 고딕"/>
        <family val="3"/>
        <charset val="129"/>
        <scheme val="major"/>
      </rPr>
      <t xml:space="preserve">비고
</t>
    </r>
    <phoneticPr fontId="1" type="noConversion"/>
  </si>
  <si>
    <t>양호</t>
    <phoneticPr fontId="1" type="noConversion"/>
  </si>
  <si>
    <t>파 트 장</t>
    <phoneticPr fontId="1" type="noConversion"/>
  </si>
  <si>
    <t>장소</t>
    <phoneticPr fontId="1" type="noConversion"/>
  </si>
  <si>
    <t>난수</t>
    <phoneticPr fontId="1" type="noConversion"/>
  </si>
  <si>
    <t>순위</t>
    <phoneticPr fontId="1" type="noConversion"/>
  </si>
  <si>
    <t>F9를 눌러주세요!!!!</t>
    <phoneticPr fontId="1" type="noConversion"/>
  </si>
  <si>
    <t>서철민
김민중
변정률</t>
    <phoneticPr fontId="1" type="noConversion"/>
  </si>
  <si>
    <t>김현상
김지우
이용수</t>
    <phoneticPr fontId="1" type="noConversion"/>
  </si>
  <si>
    <t>이휘근
양영균
고병준</t>
    <phoneticPr fontId="1" type="noConversion"/>
  </si>
  <si>
    <t>한동혁
고석훈
김태민</t>
    <phoneticPr fontId="1" type="noConversion"/>
  </si>
  <si>
    <t>파트 선택</t>
    <phoneticPr fontId="1" type="noConversion"/>
  </si>
  <si>
    <t xml:space="preserve">          점검 일자 : 2023. 02. 01</t>
    <phoneticPr fontId="1" type="noConversion"/>
  </si>
  <si>
    <t xml:space="preserve">Elec. Log Sheet </t>
    <phoneticPr fontId="1" type="noConversion"/>
  </si>
  <si>
    <t>I T E M</t>
    <phoneticPr fontId="1" type="noConversion"/>
  </si>
  <si>
    <t xml:space="preserve">GIS 154kV </t>
    <phoneticPr fontId="1" type="noConversion"/>
  </si>
  <si>
    <t>Gross Power</t>
    <phoneticPr fontId="1" type="noConversion"/>
  </si>
  <si>
    <t>Volt</t>
    <phoneticPr fontId="1" type="noConversion"/>
  </si>
  <si>
    <t>Current</t>
    <phoneticPr fontId="1" type="noConversion"/>
  </si>
  <si>
    <t>전압</t>
    <phoneticPr fontId="1" type="noConversion"/>
  </si>
  <si>
    <t>전류</t>
    <phoneticPr fontId="1" type="noConversion"/>
  </si>
  <si>
    <t>RATING</t>
    <phoneticPr fontId="1" type="noConversion"/>
  </si>
  <si>
    <t>UNIT</t>
    <phoneticPr fontId="1" type="noConversion"/>
  </si>
  <si>
    <t>CB GIS</t>
    <phoneticPr fontId="1" type="noConversion"/>
  </si>
  <si>
    <t>CB03</t>
    <phoneticPr fontId="1" type="noConversion"/>
  </si>
  <si>
    <t>CB02</t>
    <phoneticPr fontId="1" type="noConversion"/>
  </si>
  <si>
    <t>CB01</t>
    <phoneticPr fontId="1" type="noConversion"/>
  </si>
  <si>
    <t>Volt</t>
    <phoneticPr fontId="1" type="noConversion"/>
  </si>
  <si>
    <t>Close/Open 상태</t>
    <phoneticPr fontId="1" type="noConversion"/>
  </si>
  <si>
    <t>GST</t>
    <phoneticPr fontId="1" type="noConversion"/>
  </si>
  <si>
    <t>경보</t>
    <phoneticPr fontId="1" type="noConversion"/>
  </si>
  <si>
    <t>Oil Temp</t>
    <phoneticPr fontId="1" type="noConversion"/>
  </si>
  <si>
    <t>UAT</t>
    <phoneticPr fontId="1" type="noConversion"/>
  </si>
  <si>
    <t>SUT</t>
    <phoneticPr fontId="1" type="noConversion"/>
  </si>
  <si>
    <t>BBA BUS</t>
    <phoneticPr fontId="1" type="noConversion"/>
  </si>
  <si>
    <t>BBA01 GS002</t>
    <phoneticPr fontId="1" type="noConversion"/>
  </si>
  <si>
    <t>BBB BUS</t>
    <phoneticPr fontId="1" type="noConversion"/>
  </si>
  <si>
    <t>BBB01 GS002</t>
    <phoneticPr fontId="1" type="noConversion"/>
  </si>
  <si>
    <t>Bus-Tie</t>
    <phoneticPr fontId="1" type="noConversion"/>
  </si>
  <si>
    <t>BBA01 GS005
Close/Open 상태</t>
    <phoneticPr fontId="1" type="noConversion"/>
  </si>
  <si>
    <t>BBA01 GS004
Close/Open 상태</t>
    <phoneticPr fontId="1" type="noConversion"/>
  </si>
  <si>
    <t>BFA BUS</t>
    <phoneticPr fontId="1" type="noConversion"/>
  </si>
  <si>
    <t>GST,UAT OIL TEMP</t>
    <phoneticPr fontId="1" type="noConversion"/>
  </si>
  <si>
    <t>SUT Oil/Winding TEMP</t>
    <phoneticPr fontId="1" type="noConversion"/>
  </si>
  <si>
    <t>GST,UAT LCP 경보</t>
    <phoneticPr fontId="1" type="noConversion"/>
  </si>
  <si>
    <t>SUT LCP 경보상태</t>
    <phoneticPr fontId="1" type="noConversion"/>
  </si>
  <si>
    <t>변압기 AREA 누유상태</t>
    <phoneticPr fontId="1" type="noConversion"/>
  </si>
  <si>
    <t>&lt;105</t>
    <phoneticPr fontId="1" type="noConversion"/>
  </si>
  <si>
    <t>양호(N) / 불량(A)</t>
    <phoneticPr fontId="1" type="noConversion"/>
  </si>
  <si>
    <t>Tr. DAILY 
LOG SHEET</t>
    <phoneticPr fontId="1" type="noConversion"/>
  </si>
  <si>
    <t>GIS LCP</t>
    <phoneticPr fontId="1" type="noConversion"/>
  </si>
  <si>
    <r>
      <t>SUT Feeder SF</t>
    </r>
    <r>
      <rPr>
        <sz val="8"/>
        <color theme="1"/>
        <rFont val="맑은 고딕"/>
        <family val="3"/>
        <charset val="129"/>
        <scheme val="minor"/>
      </rPr>
      <t>6</t>
    </r>
    <phoneticPr fontId="1" type="noConversion"/>
  </si>
  <si>
    <r>
      <t>GST Feeder SF</t>
    </r>
    <r>
      <rPr>
        <sz val="8"/>
        <color theme="1"/>
        <rFont val="맑은 고딕"/>
        <family val="3"/>
        <charset val="129"/>
        <scheme val="minor"/>
      </rPr>
      <t>6</t>
    </r>
    <phoneticPr fontId="1" type="noConversion"/>
  </si>
  <si>
    <r>
      <t>T/L Feeder SF</t>
    </r>
    <r>
      <rPr>
        <sz val="9"/>
        <color theme="1"/>
        <rFont val="맑은 고딕"/>
        <family val="3"/>
        <charset val="129"/>
        <scheme val="minor"/>
      </rPr>
      <t>6</t>
    </r>
    <phoneticPr fontId="1" type="noConversion"/>
  </si>
  <si>
    <t>-</t>
    <phoneticPr fontId="1" type="noConversion"/>
  </si>
  <si>
    <t>&lt;170</t>
    <phoneticPr fontId="1" type="noConversion"/>
  </si>
  <si>
    <t>N/A</t>
    <phoneticPr fontId="1" type="noConversion"/>
  </si>
  <si>
    <t>6.9~7.2</t>
    <phoneticPr fontId="1" type="noConversion"/>
  </si>
  <si>
    <t>부하별 다름</t>
    <phoneticPr fontId="1" type="noConversion"/>
  </si>
  <si>
    <t>7.5/5.5/5.4</t>
    <phoneticPr fontId="1" type="noConversion"/>
  </si>
  <si>
    <t>7.5/5.4/5.4</t>
    <phoneticPr fontId="1" type="noConversion"/>
  </si>
  <si>
    <t>7.5/5.5/5.5</t>
    <phoneticPr fontId="1" type="noConversion"/>
  </si>
  <si>
    <t>MW</t>
    <phoneticPr fontId="1" type="noConversion"/>
  </si>
  <si>
    <t>kV</t>
    <phoneticPr fontId="1" type="noConversion"/>
  </si>
  <si>
    <t>A</t>
    <phoneticPr fontId="1" type="noConversion"/>
  </si>
  <si>
    <t>℃</t>
  </si>
  <si>
    <t>℃</t>
    <phoneticPr fontId="1" type="noConversion"/>
  </si>
  <si>
    <t>V</t>
    <phoneticPr fontId="1" type="noConversion"/>
  </si>
  <si>
    <t>A</t>
    <phoneticPr fontId="1" type="noConversion"/>
  </si>
  <si>
    <t>Bar</t>
    <phoneticPr fontId="1" type="noConversion"/>
  </si>
  <si>
    <t>BFB BUS</t>
    <phoneticPr fontId="1" type="noConversion"/>
  </si>
  <si>
    <t>BFC BUS</t>
    <phoneticPr fontId="1" type="noConversion"/>
  </si>
  <si>
    <t>BFD BUS</t>
    <phoneticPr fontId="1" type="noConversion"/>
  </si>
  <si>
    <t>TR
6.9kV 
Incomming 
VCB</t>
    <phoneticPr fontId="1" type="noConversion"/>
  </si>
  <si>
    <t>460V
Load
Center</t>
    <phoneticPr fontId="1" type="noConversion"/>
  </si>
  <si>
    <t>6.9 kV Bus-Tie
VCB</t>
    <phoneticPr fontId="1" type="noConversion"/>
  </si>
  <si>
    <t>20:00</t>
    <phoneticPr fontId="1" type="noConversion"/>
  </si>
  <si>
    <t>00:00</t>
    <phoneticPr fontId="1" type="noConversion"/>
  </si>
  <si>
    <t>04:00</t>
    <phoneticPr fontId="1" type="noConversion"/>
  </si>
  <si>
    <t>비고</t>
    <phoneticPr fontId="1" type="noConversion"/>
  </si>
  <si>
    <t>일 자</t>
  </si>
  <si>
    <t>설 비 운 영 팀</t>
  </si>
  <si>
    <t>N/S</t>
  </si>
  <si>
    <t>파트장</t>
  </si>
  <si>
    <t>운전원</t>
    <phoneticPr fontId="1" type="noConversion"/>
  </si>
  <si>
    <t>Close/Open 상태</t>
    <phoneticPr fontId="1" type="noConversion"/>
  </si>
  <si>
    <t>Close  /  Open</t>
    <phoneticPr fontId="1" type="noConversion"/>
  </si>
  <si>
    <t>Close  /  Open</t>
    <phoneticPr fontId="1" type="noConversion"/>
  </si>
  <si>
    <t>Close  /  Open</t>
    <phoneticPr fontId="1" type="noConversion"/>
  </si>
  <si>
    <t>Close  /  Open</t>
    <phoneticPr fontId="1" type="noConversion"/>
  </si>
  <si>
    <t>Close  /  Open</t>
    <phoneticPr fontId="1" type="noConversion"/>
  </si>
  <si>
    <t>Close  /  Open</t>
    <phoneticPr fontId="1" type="noConversion"/>
  </si>
  <si>
    <t>Close  /  Open</t>
    <phoneticPr fontId="1" type="noConversion"/>
  </si>
  <si>
    <t>Close  /  Open</t>
    <phoneticPr fontId="1" type="noConversion"/>
  </si>
  <si>
    <t xml:space="preserve">  2025.        .          .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</si>
</sst>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u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ajor"/>
    </font>
    <font>
      <sz val="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sz val="24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u/>
      <sz val="3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7" fillId="0" borderId="33" xfId="0" applyNumberFormat="1" applyFont="1" applyBorder="1" applyAlignment="1">
      <alignment horizontal="center" vertical="center" wrapText="1"/>
    </xf>
    <xf numFmtId="49" fontId="7" fillId="0" borderId="33" xfId="0" applyNumberFormat="1" applyFont="1" applyBorder="1" applyAlignment="1">
      <alignment vertical="center" wrapText="1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32" xfId="0" quotePrefix="1" applyFont="1" applyBorder="1" applyAlignment="1">
      <alignment horizontal="left" vertical="center" wrapText="1"/>
    </xf>
    <xf numFmtId="0" fontId="5" fillId="0" borderId="32" xfId="0" applyFont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0" borderId="1" xfId="0" applyFont="1" applyBorder="1">
      <alignment vertical="center"/>
    </xf>
    <xf numFmtId="0" fontId="14" fillId="0" borderId="0" xfId="0" applyFont="1" applyAlignment="1">
      <alignment horizontal="center" vertical="center"/>
    </xf>
    <xf numFmtId="0" fontId="15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5" fillId="0" borderId="1" xfId="0" applyFont="1" applyFill="1" applyBorder="1">
      <alignment vertical="center"/>
    </xf>
    <xf numFmtId="0" fontId="16" fillId="0" borderId="0" xfId="0" applyFont="1">
      <alignment vertical="center"/>
    </xf>
    <xf numFmtId="0" fontId="13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17" fillId="2" borderId="41" xfId="0" applyFont="1" applyFill="1" applyBorder="1">
      <alignment vertical="center"/>
    </xf>
    <xf numFmtId="0" fontId="18" fillId="2" borderId="42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0" fillId="2" borderId="0" xfId="0" applyFill="1">
      <alignment vertical="center"/>
    </xf>
    <xf numFmtId="0" fontId="11" fillId="2" borderId="50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0" fontId="13" fillId="2" borderId="44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vertical="center"/>
    </xf>
    <xf numFmtId="0" fontId="13" fillId="2" borderId="53" xfId="0" applyFont="1" applyFill="1" applyBorder="1" applyAlignment="1">
      <alignment vertical="center"/>
    </xf>
    <xf numFmtId="0" fontId="13" fillId="2" borderId="54" xfId="0" applyFont="1" applyFill="1" applyBorder="1" applyAlignment="1">
      <alignment vertical="center"/>
    </xf>
    <xf numFmtId="0" fontId="13" fillId="2" borderId="61" xfId="0" applyFont="1" applyFill="1" applyBorder="1" applyAlignment="1">
      <alignment vertical="center"/>
    </xf>
    <xf numFmtId="0" fontId="13" fillId="2" borderId="45" xfId="0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12" fillId="2" borderId="38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5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0" fontId="11" fillId="2" borderId="56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58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2" borderId="49" xfId="0" applyFont="1" applyFill="1" applyBorder="1" applyAlignment="1">
      <alignment horizontal="center" vertical="center"/>
    </xf>
    <xf numFmtId="0" fontId="13" fillId="2" borderId="45" xfId="0" applyFont="1" applyFill="1" applyBorder="1" applyAlignment="1">
      <alignment horizontal="center" vertical="center"/>
    </xf>
    <xf numFmtId="0" fontId="13" fillId="2" borderId="50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3" fillId="2" borderId="62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55" xfId="0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horizontal="center" vertical="center"/>
    </xf>
    <xf numFmtId="0" fontId="19" fillId="2" borderId="45" xfId="0" applyFont="1" applyFill="1" applyBorder="1" applyAlignment="1">
      <alignment horizontal="center" vertical="center" wrapText="1"/>
    </xf>
    <xf numFmtId="0" fontId="19" fillId="2" borderId="50" xfId="0" applyFont="1" applyFill="1" applyBorder="1" applyAlignment="1">
      <alignment horizontal="center" vertical="center" wrapText="1"/>
    </xf>
    <xf numFmtId="0" fontId="19" fillId="2" borderId="54" xfId="0" applyFont="1" applyFill="1" applyBorder="1" applyAlignment="1">
      <alignment horizontal="center" vertical="center" wrapText="1"/>
    </xf>
    <xf numFmtId="0" fontId="19" fillId="2" borderId="51" xfId="0" applyFont="1" applyFill="1" applyBorder="1" applyAlignment="1">
      <alignment horizontal="center" vertical="center" wrapText="1"/>
    </xf>
    <xf numFmtId="49" fontId="12" fillId="2" borderId="47" xfId="0" applyNumberFormat="1" applyFont="1" applyFill="1" applyBorder="1" applyAlignment="1">
      <alignment horizontal="center" vertical="center"/>
    </xf>
    <xf numFmtId="49" fontId="12" fillId="2" borderId="48" xfId="0" applyNumberFormat="1" applyFont="1" applyFill="1" applyBorder="1" applyAlignment="1">
      <alignment horizontal="center" vertical="center"/>
    </xf>
    <xf numFmtId="49" fontId="12" fillId="2" borderId="49" xfId="0" applyNumberFormat="1" applyFont="1" applyFill="1" applyBorder="1" applyAlignment="1">
      <alignment horizontal="center" vertical="center"/>
    </xf>
    <xf numFmtId="20" fontId="12" fillId="2" borderId="67" xfId="0" quotePrefix="1" applyNumberFormat="1" applyFont="1" applyFill="1" applyBorder="1" applyAlignment="1">
      <alignment horizontal="center" vertical="center"/>
    </xf>
    <xf numFmtId="20" fontId="12" fillId="2" borderId="48" xfId="0" quotePrefix="1" applyNumberFormat="1" applyFont="1" applyFill="1" applyBorder="1" applyAlignment="1">
      <alignment horizontal="center" vertical="center"/>
    </xf>
    <xf numFmtId="20" fontId="12" fillId="2" borderId="49" xfId="0" quotePrefix="1" applyNumberFormat="1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3" fillId="2" borderId="72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28" xfId="0" applyFont="1" applyFill="1" applyBorder="1" applyAlignment="1">
      <alignment horizontal="center" vertical="center"/>
    </xf>
    <xf numFmtId="0" fontId="13" fillId="2" borderId="70" xfId="0" applyFont="1" applyFill="1" applyBorder="1" applyAlignment="1">
      <alignment horizontal="center" vertical="center"/>
    </xf>
    <xf numFmtId="0" fontId="13" fillId="2" borderId="69" xfId="0" applyFont="1" applyFill="1" applyBorder="1" applyAlignment="1">
      <alignment horizontal="center" vertical="center"/>
    </xf>
    <xf numFmtId="0" fontId="13" fillId="2" borderId="73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77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7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75" xfId="0" applyFont="1" applyFill="1" applyBorder="1" applyAlignment="1">
      <alignment horizontal="center" vertical="center"/>
    </xf>
    <xf numFmtId="0" fontId="12" fillId="2" borderId="76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13" fillId="2" borderId="7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20" fontId="8" fillId="0" borderId="12" xfId="0" applyNumberFormat="1" applyFont="1" applyBorder="1" applyAlignment="1">
      <alignment horizontal="center" vertical="center"/>
    </xf>
    <xf numFmtId="20" fontId="8" fillId="0" borderId="24" xfId="0" applyNumberFormat="1" applyFont="1" applyBorder="1" applyAlignment="1">
      <alignment horizontal="center" vertical="center"/>
    </xf>
    <xf numFmtId="20" fontId="8" fillId="0" borderId="10" xfId="0" applyNumberFormat="1" applyFont="1" applyBorder="1" applyAlignment="1">
      <alignment horizontal="center" vertical="center"/>
    </xf>
    <xf numFmtId="20" fontId="8" fillId="0" borderId="0" xfId="0" applyNumberFormat="1" applyFont="1" applyBorder="1" applyAlignment="1">
      <alignment horizontal="center" vertical="center"/>
    </xf>
    <xf numFmtId="20" fontId="8" fillId="0" borderId="13" xfId="0" applyNumberFormat="1" applyFont="1" applyBorder="1" applyAlignment="1">
      <alignment horizontal="center" vertical="center"/>
    </xf>
    <xf numFmtId="20" fontId="8" fillId="0" borderId="28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left" vertical="top" wrapText="1"/>
    </xf>
    <xf numFmtId="0" fontId="9" fillId="0" borderId="24" xfId="0" applyFont="1" applyBorder="1" applyAlignment="1">
      <alignment horizontal="left" vertical="top"/>
    </xf>
    <xf numFmtId="0" fontId="9" fillId="0" borderId="25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/>
    </xf>
    <xf numFmtId="0" fontId="9" fillId="0" borderId="38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20" fontId="8" fillId="0" borderId="17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20" fontId="8" fillId="0" borderId="18" xfId="0" applyNumberFormat="1" applyFont="1" applyBorder="1" applyAlignment="1">
      <alignment horizontal="center" vertical="center"/>
    </xf>
    <xf numFmtId="20" fontId="8" fillId="0" borderId="22" xfId="0" applyNumberFormat="1" applyFont="1" applyBorder="1" applyAlignment="1">
      <alignment horizontal="center" vertical="center"/>
    </xf>
    <xf numFmtId="20" fontId="8" fillId="0" borderId="19" xfId="0" applyNumberFormat="1" applyFont="1" applyBorder="1" applyAlignment="1">
      <alignment horizontal="center" vertical="center"/>
    </xf>
    <xf numFmtId="20" fontId="8" fillId="0" borderId="23" xfId="0" applyNumberFormat="1" applyFont="1" applyBorder="1" applyAlignment="1">
      <alignment horizontal="center" vertical="center"/>
    </xf>
    <xf numFmtId="176" fontId="8" fillId="0" borderId="17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18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19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81643</xdr:colOff>
      <xdr:row>0</xdr:row>
      <xdr:rowOff>40821</xdr:rowOff>
    </xdr:from>
    <xdr:to>
      <xdr:col>26</xdr:col>
      <xdr:colOff>0</xdr:colOff>
      <xdr:row>5</xdr:row>
      <xdr:rowOff>340179</xdr:rowOff>
    </xdr:to>
    <xdr:sp macro="" textlink="">
      <xdr:nvSpPr>
        <xdr:cNvPr id="2" name="직사각형 1"/>
        <xdr:cNvSpPr/>
      </xdr:nvSpPr>
      <xdr:spPr>
        <a:xfrm>
          <a:off x="14899822" y="40821"/>
          <a:ext cx="6721928" cy="249010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4000" b="1">
              <a:solidFill>
                <a:schemeClr val="tx1"/>
              </a:solidFill>
            </a:rPr>
            <a:t>&lt;-</a:t>
          </a:r>
          <a:r>
            <a:rPr lang="en-US" altLang="ko-KR" sz="4000" b="1" baseline="0">
              <a:solidFill>
                <a:schemeClr val="tx1"/>
              </a:solidFill>
            </a:rPr>
            <a:t> </a:t>
          </a:r>
          <a:r>
            <a:rPr lang="ko-KR" altLang="en-US" sz="4000" b="1" baseline="0">
              <a:solidFill>
                <a:schemeClr val="tx1"/>
              </a:solidFill>
            </a:rPr>
            <a:t>파트 선택후 </a:t>
          </a:r>
          <a:r>
            <a:rPr lang="en-US" altLang="ko-KR" sz="4000" b="1">
              <a:solidFill>
                <a:schemeClr val="tx1"/>
              </a:solidFill>
            </a:rPr>
            <a:t>'F9'</a:t>
          </a:r>
          <a:r>
            <a:rPr lang="en-US" altLang="ko-KR" sz="2000">
              <a:solidFill>
                <a:schemeClr val="tx1"/>
              </a:solidFill>
            </a:rPr>
            <a:t> </a:t>
          </a:r>
          <a:r>
            <a:rPr lang="ko-KR" altLang="en-US" sz="2000">
              <a:solidFill>
                <a:schemeClr val="tx1"/>
              </a:solidFill>
            </a:rPr>
            <a:t>를 눌러주세요</a:t>
          </a:r>
          <a:r>
            <a:rPr lang="en-US" altLang="ko-KR" sz="2400">
              <a:solidFill>
                <a:schemeClr val="tx1"/>
              </a:solidFill>
            </a:rPr>
            <a:t>!!!</a:t>
          </a:r>
        </a:p>
        <a:p>
          <a:pPr algn="l"/>
          <a:endParaRPr lang="en-US" altLang="ko-KR" sz="2400">
            <a:solidFill>
              <a:schemeClr val="tx1"/>
            </a:solidFill>
          </a:endParaRPr>
        </a:p>
        <a:p>
          <a:pPr algn="ctr"/>
          <a:r>
            <a:rPr lang="ko-KR" altLang="en-US" sz="1400">
              <a:solidFill>
                <a:schemeClr val="tx1"/>
              </a:solidFill>
            </a:rPr>
            <a:t>기타 수정할 사항이 있다면 연락주십셔</a:t>
          </a:r>
          <a:r>
            <a:rPr lang="en-US" altLang="ko-KR" sz="1400">
              <a:solidFill>
                <a:schemeClr val="tx1"/>
              </a:solidFill>
            </a:rPr>
            <a:t>!</a:t>
          </a:r>
        </a:p>
        <a:p>
          <a:pPr algn="ctr"/>
          <a:r>
            <a:rPr lang="en-US" altLang="ko-KR" sz="1400">
              <a:solidFill>
                <a:schemeClr val="tx1"/>
              </a:solidFill>
            </a:rPr>
            <a:t>-</a:t>
          </a:r>
          <a:r>
            <a:rPr lang="ko-KR" altLang="en-US" sz="1400">
              <a:solidFill>
                <a:schemeClr val="tx1"/>
              </a:solidFill>
            </a:rPr>
            <a:t>송관석 주임</a:t>
          </a:r>
          <a:r>
            <a:rPr lang="en-US" altLang="ko-KR" sz="1400">
              <a:solidFill>
                <a:schemeClr val="tx1"/>
              </a:solidFill>
            </a:rPr>
            <a:t>-</a:t>
          </a:r>
        </a:p>
        <a:p>
          <a:pPr algn="l"/>
          <a:endParaRPr lang="ko-KR" altLang="en-US" sz="24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9"/>
  <sheetViews>
    <sheetView tabSelected="1" view="pageBreakPreview" topLeftCell="A34" zoomScale="115" zoomScaleNormal="100" zoomScaleSheetLayoutView="115" workbookViewId="0">
      <selection activeCell="P11" sqref="P11:R11"/>
    </sheetView>
  </sheetViews>
  <sheetFormatPr defaultRowHeight="16.5" x14ac:dyDescent="0.3"/>
  <cols>
    <col min="1" max="1" width="2" customWidth="1"/>
    <col min="2" max="2" width="10.125" customWidth="1"/>
    <col min="3" max="3" width="5.625" customWidth="1"/>
    <col min="4" max="4" width="9.625" customWidth="1"/>
    <col min="5" max="5" width="10.125" customWidth="1"/>
    <col min="6" max="6" width="7.625" customWidth="1"/>
    <col min="7" max="8" width="8.125" customWidth="1"/>
    <col min="9" max="9" width="9.875" customWidth="1"/>
    <col min="10" max="13" width="5.625" customWidth="1"/>
    <col min="14" max="14" width="8.125" customWidth="1"/>
    <col min="15" max="15" width="3.125" customWidth="1"/>
    <col min="16" max="17" width="5.625" customWidth="1"/>
    <col min="18" max="18" width="8.125" customWidth="1"/>
    <col min="19" max="19" width="3.125" customWidth="1"/>
    <col min="20" max="21" width="5.625" customWidth="1"/>
    <col min="22" max="22" width="2.875" customWidth="1"/>
  </cols>
  <sheetData>
    <row r="1" spans="1:22" ht="54.75" thickBot="1" x14ac:dyDescent="0.35">
      <c r="A1" s="49" t="s">
        <v>116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2" ht="21.95" customHeight="1" thickBot="1" x14ac:dyDescent="0.35"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7"/>
      <c r="N2" s="110" t="s">
        <v>183</v>
      </c>
      <c r="O2" s="110"/>
      <c r="P2" s="110"/>
      <c r="Q2" s="110"/>
      <c r="R2" s="110" t="s">
        <v>197</v>
      </c>
      <c r="S2" s="110"/>
      <c r="T2" s="110"/>
      <c r="U2" s="110"/>
      <c r="V2" s="48"/>
    </row>
    <row r="3" spans="1:22" ht="6" customHeight="1" thickBot="1" x14ac:dyDescent="0.35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7"/>
      <c r="N3" s="110" t="s">
        <v>184</v>
      </c>
      <c r="O3" s="110"/>
      <c r="P3" s="110"/>
      <c r="Q3" s="110"/>
      <c r="R3" s="110" t="s">
        <v>185</v>
      </c>
      <c r="S3" s="110"/>
      <c r="T3" s="110"/>
      <c r="U3" s="110"/>
      <c r="V3" s="48"/>
    </row>
    <row r="4" spans="1:22" ht="14.25" customHeight="1" thickBot="1" x14ac:dyDescent="0.35"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7"/>
      <c r="N4" s="110"/>
      <c r="O4" s="110"/>
      <c r="P4" s="110"/>
      <c r="Q4" s="110"/>
      <c r="R4" s="110"/>
      <c r="S4" s="110"/>
      <c r="T4" s="110"/>
      <c r="U4" s="110"/>
      <c r="V4" s="48"/>
    </row>
    <row r="5" spans="1:22" ht="21.95" customHeight="1" x14ac:dyDescent="0.3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7"/>
      <c r="N5" s="120" t="s">
        <v>187</v>
      </c>
      <c r="O5" s="111"/>
      <c r="P5" s="112"/>
      <c r="Q5" s="113"/>
      <c r="R5" s="120" t="s">
        <v>186</v>
      </c>
      <c r="S5" s="111"/>
      <c r="T5" s="112"/>
      <c r="U5" s="113"/>
      <c r="V5" s="48"/>
    </row>
    <row r="6" spans="1:22" ht="21.95" customHeight="1" x14ac:dyDescent="0.3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7"/>
      <c r="N6" s="121"/>
      <c r="O6" s="114"/>
      <c r="P6" s="115"/>
      <c r="Q6" s="116"/>
      <c r="R6" s="121"/>
      <c r="S6" s="114"/>
      <c r="T6" s="115"/>
      <c r="U6" s="116"/>
      <c r="V6" s="48"/>
    </row>
    <row r="7" spans="1:22" ht="21.95" customHeight="1" thickBot="1" x14ac:dyDescent="0.35"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7"/>
      <c r="N7" s="122"/>
      <c r="O7" s="117"/>
      <c r="P7" s="118"/>
      <c r="Q7" s="119"/>
      <c r="R7" s="122"/>
      <c r="S7" s="117"/>
      <c r="T7" s="118"/>
      <c r="U7" s="119"/>
      <c r="V7" s="48"/>
    </row>
    <row r="8" spans="1:22" ht="17.25" thickBot="1" x14ac:dyDescent="0.35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</row>
    <row r="9" spans="1:22" ht="27" customHeight="1" thickBot="1" x14ac:dyDescent="0.35">
      <c r="B9" s="77" t="s">
        <v>117</v>
      </c>
      <c r="C9" s="78"/>
      <c r="D9" s="78"/>
      <c r="E9" s="78"/>
      <c r="F9" s="78"/>
      <c r="G9" s="62" t="s">
        <v>124</v>
      </c>
      <c r="H9" s="63"/>
      <c r="I9" s="37" t="s">
        <v>125</v>
      </c>
      <c r="J9" s="89" t="s">
        <v>179</v>
      </c>
      <c r="K9" s="90"/>
      <c r="L9" s="91"/>
      <c r="M9" s="92" t="s">
        <v>180</v>
      </c>
      <c r="N9" s="93"/>
      <c r="O9" s="94"/>
      <c r="P9" s="93" t="s">
        <v>181</v>
      </c>
      <c r="Q9" s="62"/>
      <c r="R9" s="63"/>
      <c r="S9" s="80" t="s">
        <v>182</v>
      </c>
      <c r="T9" s="62"/>
      <c r="U9" s="81"/>
    </row>
    <row r="10" spans="1:22" ht="27" customHeight="1" x14ac:dyDescent="0.3">
      <c r="B10" s="56" t="s">
        <v>118</v>
      </c>
      <c r="C10" s="57"/>
      <c r="D10" s="32"/>
      <c r="E10" s="38" t="s">
        <v>119</v>
      </c>
      <c r="F10" s="38"/>
      <c r="G10" s="64" t="s">
        <v>157</v>
      </c>
      <c r="H10" s="65"/>
      <c r="I10" s="39" t="s">
        <v>165</v>
      </c>
      <c r="J10" s="82"/>
      <c r="K10" s="79"/>
      <c r="L10" s="65"/>
      <c r="M10" s="64"/>
      <c r="N10" s="79"/>
      <c r="O10" s="65"/>
      <c r="P10" s="64"/>
      <c r="Q10" s="79"/>
      <c r="R10" s="65"/>
      <c r="S10" s="64"/>
      <c r="T10" s="79"/>
      <c r="U10" s="98"/>
    </row>
    <row r="11" spans="1:22" ht="27" customHeight="1" x14ac:dyDescent="0.3">
      <c r="B11" s="58"/>
      <c r="C11" s="59"/>
      <c r="D11" s="34" t="s">
        <v>120</v>
      </c>
      <c r="E11" s="66" t="s">
        <v>122</v>
      </c>
      <c r="F11" s="75"/>
      <c r="G11" s="66" t="s">
        <v>158</v>
      </c>
      <c r="H11" s="67"/>
      <c r="I11" s="36" t="s">
        <v>166</v>
      </c>
      <c r="J11" s="83"/>
      <c r="K11" s="75"/>
      <c r="L11" s="67"/>
      <c r="M11" s="66"/>
      <c r="N11" s="75"/>
      <c r="O11" s="67"/>
      <c r="P11" s="66"/>
      <c r="Q11" s="75"/>
      <c r="R11" s="67"/>
      <c r="S11" s="66"/>
      <c r="T11" s="75"/>
      <c r="U11" s="99"/>
    </row>
    <row r="12" spans="1:22" ht="27" customHeight="1" thickBot="1" x14ac:dyDescent="0.35">
      <c r="B12" s="60"/>
      <c r="C12" s="61"/>
      <c r="D12" s="35" t="s">
        <v>121</v>
      </c>
      <c r="E12" s="68" t="s">
        <v>123</v>
      </c>
      <c r="F12" s="76"/>
      <c r="G12" s="68" t="s">
        <v>157</v>
      </c>
      <c r="H12" s="69"/>
      <c r="I12" s="40" t="s">
        <v>167</v>
      </c>
      <c r="J12" s="84"/>
      <c r="K12" s="76"/>
      <c r="L12" s="69"/>
      <c r="M12" s="68"/>
      <c r="N12" s="76"/>
      <c r="O12" s="69"/>
      <c r="P12" s="68"/>
      <c r="Q12" s="76"/>
      <c r="R12" s="69"/>
      <c r="S12" s="68"/>
      <c r="T12" s="76"/>
      <c r="U12" s="100"/>
    </row>
    <row r="13" spans="1:22" ht="27" customHeight="1" x14ac:dyDescent="0.3">
      <c r="B13" s="56" t="s">
        <v>126</v>
      </c>
      <c r="C13" s="57"/>
      <c r="D13" s="33" t="s">
        <v>127</v>
      </c>
      <c r="E13" s="64" t="s">
        <v>188</v>
      </c>
      <c r="F13" s="79"/>
      <c r="G13" s="64" t="s">
        <v>157</v>
      </c>
      <c r="H13" s="65"/>
      <c r="I13" s="39"/>
      <c r="J13" s="82" t="s">
        <v>190</v>
      </c>
      <c r="K13" s="79"/>
      <c r="L13" s="65"/>
      <c r="M13" s="64" t="s">
        <v>191</v>
      </c>
      <c r="N13" s="79"/>
      <c r="O13" s="65"/>
      <c r="P13" s="64" t="s">
        <v>191</v>
      </c>
      <c r="Q13" s="79"/>
      <c r="R13" s="65"/>
      <c r="S13" s="64"/>
      <c r="T13" s="79"/>
      <c r="U13" s="98"/>
    </row>
    <row r="14" spans="1:22" ht="27" customHeight="1" x14ac:dyDescent="0.3">
      <c r="B14" s="58"/>
      <c r="C14" s="59"/>
      <c r="D14" s="34" t="s">
        <v>128</v>
      </c>
      <c r="E14" s="66" t="s">
        <v>131</v>
      </c>
      <c r="F14" s="75"/>
      <c r="G14" s="66" t="s">
        <v>157</v>
      </c>
      <c r="H14" s="67"/>
      <c r="I14" s="36"/>
      <c r="J14" s="83" t="s">
        <v>190</v>
      </c>
      <c r="K14" s="75"/>
      <c r="L14" s="67"/>
      <c r="M14" s="66" t="s">
        <v>191</v>
      </c>
      <c r="N14" s="75"/>
      <c r="O14" s="67"/>
      <c r="P14" s="66" t="s">
        <v>191</v>
      </c>
      <c r="Q14" s="75"/>
      <c r="R14" s="67"/>
      <c r="S14" s="66"/>
      <c r="T14" s="75"/>
      <c r="U14" s="99"/>
    </row>
    <row r="15" spans="1:22" ht="27" customHeight="1" x14ac:dyDescent="0.3">
      <c r="B15" s="58"/>
      <c r="C15" s="59"/>
      <c r="D15" s="34" t="s">
        <v>129</v>
      </c>
      <c r="E15" s="66" t="s">
        <v>131</v>
      </c>
      <c r="F15" s="75"/>
      <c r="G15" s="66" t="s">
        <v>157</v>
      </c>
      <c r="H15" s="67"/>
      <c r="I15" s="36"/>
      <c r="J15" s="101" t="s">
        <v>190</v>
      </c>
      <c r="K15" s="102"/>
      <c r="L15" s="103"/>
      <c r="M15" s="104" t="s">
        <v>191</v>
      </c>
      <c r="N15" s="102"/>
      <c r="O15" s="103"/>
      <c r="P15" s="104" t="s">
        <v>191</v>
      </c>
      <c r="Q15" s="102"/>
      <c r="R15" s="103"/>
      <c r="S15" s="104"/>
      <c r="T15" s="102"/>
      <c r="U15" s="105"/>
    </row>
    <row r="16" spans="1:22" ht="27" customHeight="1" x14ac:dyDescent="0.3">
      <c r="B16" s="58"/>
      <c r="C16" s="59"/>
      <c r="D16" s="34" t="s">
        <v>130</v>
      </c>
      <c r="E16" s="66" t="s">
        <v>122</v>
      </c>
      <c r="F16" s="75"/>
      <c r="G16" s="66" t="s">
        <v>158</v>
      </c>
      <c r="H16" s="67"/>
      <c r="I16" s="36" t="s">
        <v>166</v>
      </c>
      <c r="J16" s="83"/>
      <c r="K16" s="75"/>
      <c r="L16" s="67"/>
      <c r="M16" s="66"/>
      <c r="N16" s="75"/>
      <c r="O16" s="67"/>
      <c r="P16" s="66"/>
      <c r="Q16" s="75"/>
      <c r="R16" s="67"/>
      <c r="S16" s="66"/>
      <c r="T16" s="75"/>
      <c r="U16" s="99"/>
    </row>
    <row r="17" spans="2:21" ht="27" customHeight="1" thickBot="1" x14ac:dyDescent="0.35">
      <c r="B17" s="60"/>
      <c r="C17" s="61"/>
      <c r="D17" s="35" t="s">
        <v>121</v>
      </c>
      <c r="E17" s="68" t="s">
        <v>123</v>
      </c>
      <c r="F17" s="76"/>
      <c r="G17" s="68" t="s">
        <v>157</v>
      </c>
      <c r="H17" s="69"/>
      <c r="I17" s="40" t="s">
        <v>167</v>
      </c>
      <c r="J17" s="84"/>
      <c r="K17" s="76"/>
      <c r="L17" s="69"/>
      <c r="M17" s="68"/>
      <c r="N17" s="76"/>
      <c r="O17" s="69"/>
      <c r="P17" s="68"/>
      <c r="Q17" s="76"/>
      <c r="R17" s="69"/>
      <c r="S17" s="68"/>
      <c r="T17" s="76"/>
      <c r="U17" s="100"/>
    </row>
    <row r="18" spans="2:21" ht="27" customHeight="1" x14ac:dyDescent="0.3">
      <c r="B18" s="50" t="s">
        <v>176</v>
      </c>
      <c r="C18" s="51"/>
      <c r="D18" s="73" t="s">
        <v>132</v>
      </c>
      <c r="E18" s="64" t="s">
        <v>133</v>
      </c>
      <c r="F18" s="79"/>
      <c r="G18" s="64" t="s">
        <v>159</v>
      </c>
      <c r="H18" s="65"/>
      <c r="I18" s="39"/>
      <c r="J18" s="64"/>
      <c r="K18" s="79"/>
      <c r="L18" s="65"/>
      <c r="M18" s="64"/>
      <c r="N18" s="79"/>
      <c r="O18" s="65"/>
      <c r="P18" s="64"/>
      <c r="Q18" s="79"/>
      <c r="R18" s="65"/>
      <c r="S18" s="64"/>
      <c r="T18" s="79"/>
      <c r="U18" s="98"/>
    </row>
    <row r="19" spans="2:21" ht="27" customHeight="1" x14ac:dyDescent="0.3">
      <c r="B19" s="52"/>
      <c r="C19" s="53"/>
      <c r="D19" s="72"/>
      <c r="E19" s="66" t="s">
        <v>134</v>
      </c>
      <c r="F19" s="75"/>
      <c r="G19" s="66" t="s">
        <v>150</v>
      </c>
      <c r="H19" s="67"/>
      <c r="I19" s="36" t="s">
        <v>169</v>
      </c>
      <c r="J19" s="66"/>
      <c r="K19" s="75"/>
      <c r="L19" s="67"/>
      <c r="M19" s="66"/>
      <c r="N19" s="75"/>
      <c r="O19" s="67"/>
      <c r="P19" s="66"/>
      <c r="Q19" s="75"/>
      <c r="R19" s="67"/>
      <c r="S19" s="66"/>
      <c r="T19" s="75"/>
      <c r="U19" s="99"/>
    </row>
    <row r="20" spans="2:21" ht="27" customHeight="1" x14ac:dyDescent="0.3">
      <c r="B20" s="52"/>
      <c r="C20" s="53"/>
      <c r="D20" s="70" t="s">
        <v>135</v>
      </c>
      <c r="E20" s="66" t="s">
        <v>133</v>
      </c>
      <c r="F20" s="75"/>
      <c r="G20" s="66" t="s">
        <v>159</v>
      </c>
      <c r="H20" s="67"/>
      <c r="I20" s="36"/>
      <c r="J20" s="66"/>
      <c r="K20" s="75"/>
      <c r="L20" s="67"/>
      <c r="M20" s="66"/>
      <c r="N20" s="75"/>
      <c r="O20" s="67"/>
      <c r="P20" s="66"/>
      <c r="Q20" s="75"/>
      <c r="R20" s="67"/>
      <c r="S20" s="66"/>
      <c r="T20" s="75"/>
      <c r="U20" s="99"/>
    </row>
    <row r="21" spans="2:21" ht="27" customHeight="1" x14ac:dyDescent="0.3">
      <c r="B21" s="52"/>
      <c r="C21" s="53"/>
      <c r="D21" s="72"/>
      <c r="E21" s="66" t="s">
        <v>134</v>
      </c>
      <c r="F21" s="75"/>
      <c r="G21" s="66" t="s">
        <v>150</v>
      </c>
      <c r="H21" s="67"/>
      <c r="I21" s="36" t="s">
        <v>168</v>
      </c>
      <c r="J21" s="66"/>
      <c r="K21" s="75"/>
      <c r="L21" s="67"/>
      <c r="M21" s="66"/>
      <c r="N21" s="75"/>
      <c r="O21" s="67"/>
      <c r="P21" s="66"/>
      <c r="Q21" s="75"/>
      <c r="R21" s="67"/>
      <c r="S21" s="66"/>
      <c r="T21" s="75"/>
      <c r="U21" s="99"/>
    </row>
    <row r="22" spans="2:21" ht="27" customHeight="1" x14ac:dyDescent="0.3">
      <c r="B22" s="52"/>
      <c r="C22" s="53"/>
      <c r="D22" s="70" t="s">
        <v>136</v>
      </c>
      <c r="E22" s="66" t="s">
        <v>133</v>
      </c>
      <c r="F22" s="75"/>
      <c r="G22" s="66" t="s">
        <v>159</v>
      </c>
      <c r="H22" s="67"/>
      <c r="I22" s="36"/>
      <c r="J22" s="95"/>
      <c r="K22" s="96"/>
      <c r="L22" s="97"/>
      <c r="M22" s="95"/>
      <c r="N22" s="96"/>
      <c r="O22" s="97"/>
      <c r="P22" s="95"/>
      <c r="Q22" s="96"/>
      <c r="R22" s="97"/>
      <c r="S22" s="95"/>
      <c r="T22" s="96"/>
      <c r="U22" s="106"/>
    </row>
    <row r="23" spans="2:21" ht="27" customHeight="1" x14ac:dyDescent="0.3">
      <c r="B23" s="52"/>
      <c r="C23" s="53"/>
      <c r="D23" s="72"/>
      <c r="E23" s="66" t="s">
        <v>134</v>
      </c>
      <c r="F23" s="75"/>
      <c r="G23" s="66" t="s">
        <v>150</v>
      </c>
      <c r="H23" s="67"/>
      <c r="I23" s="36" t="s">
        <v>168</v>
      </c>
      <c r="J23" s="66"/>
      <c r="K23" s="75"/>
      <c r="L23" s="67"/>
      <c r="M23" s="66"/>
      <c r="N23" s="75"/>
      <c r="O23" s="67"/>
      <c r="P23" s="66"/>
      <c r="Q23" s="75"/>
      <c r="R23" s="67"/>
      <c r="S23" s="66"/>
      <c r="T23" s="75"/>
      <c r="U23" s="99"/>
    </row>
    <row r="24" spans="2:21" ht="27" customHeight="1" x14ac:dyDescent="0.3">
      <c r="B24" s="52"/>
      <c r="C24" s="53"/>
      <c r="D24" s="70" t="s">
        <v>137</v>
      </c>
      <c r="E24" s="66" t="s">
        <v>138</v>
      </c>
      <c r="F24" s="75"/>
      <c r="G24" s="66" t="s">
        <v>157</v>
      </c>
      <c r="H24" s="67"/>
      <c r="I24" s="36"/>
      <c r="J24" s="66" t="s">
        <v>191</v>
      </c>
      <c r="K24" s="75"/>
      <c r="L24" s="67"/>
      <c r="M24" s="66" t="s">
        <v>191</v>
      </c>
      <c r="N24" s="75"/>
      <c r="O24" s="67"/>
      <c r="P24" s="66" t="s">
        <v>189</v>
      </c>
      <c r="Q24" s="75"/>
      <c r="R24" s="67"/>
      <c r="S24" s="66"/>
      <c r="T24" s="75"/>
      <c r="U24" s="99"/>
    </row>
    <row r="25" spans="2:21" ht="27" customHeight="1" x14ac:dyDescent="0.3">
      <c r="B25" s="52"/>
      <c r="C25" s="53"/>
      <c r="D25" s="74"/>
      <c r="E25" s="66" t="s">
        <v>122</v>
      </c>
      <c r="F25" s="75"/>
      <c r="G25" s="66" t="s">
        <v>160</v>
      </c>
      <c r="H25" s="67"/>
      <c r="I25" s="36" t="s">
        <v>166</v>
      </c>
      <c r="J25" s="66"/>
      <c r="K25" s="75"/>
      <c r="L25" s="67"/>
      <c r="M25" s="66"/>
      <c r="N25" s="75"/>
      <c r="O25" s="67"/>
      <c r="P25" s="66"/>
      <c r="Q25" s="75"/>
      <c r="R25" s="67"/>
      <c r="S25" s="66"/>
      <c r="T25" s="75"/>
      <c r="U25" s="99"/>
    </row>
    <row r="26" spans="2:21" ht="27" customHeight="1" x14ac:dyDescent="0.3">
      <c r="B26" s="52"/>
      <c r="C26" s="53"/>
      <c r="D26" s="72"/>
      <c r="E26" s="66" t="s">
        <v>123</v>
      </c>
      <c r="F26" s="75"/>
      <c r="G26" s="66" t="s">
        <v>157</v>
      </c>
      <c r="H26" s="67"/>
      <c r="I26" s="36" t="s">
        <v>167</v>
      </c>
      <c r="J26" s="66"/>
      <c r="K26" s="75"/>
      <c r="L26" s="67"/>
      <c r="M26" s="66"/>
      <c r="N26" s="75"/>
      <c r="O26" s="67"/>
      <c r="P26" s="66"/>
      <c r="Q26" s="75"/>
      <c r="R26" s="67"/>
      <c r="S26" s="66"/>
      <c r="T26" s="75"/>
      <c r="U26" s="99"/>
    </row>
    <row r="27" spans="2:21" ht="27" customHeight="1" x14ac:dyDescent="0.3">
      <c r="B27" s="52"/>
      <c r="C27" s="53"/>
      <c r="D27" s="70" t="s">
        <v>139</v>
      </c>
      <c r="E27" s="66" t="s">
        <v>140</v>
      </c>
      <c r="F27" s="75"/>
      <c r="G27" s="66" t="s">
        <v>157</v>
      </c>
      <c r="H27" s="67"/>
      <c r="I27" s="36"/>
      <c r="J27" s="95" t="s">
        <v>192</v>
      </c>
      <c r="K27" s="96"/>
      <c r="L27" s="97"/>
      <c r="M27" s="95" t="s">
        <v>191</v>
      </c>
      <c r="N27" s="96"/>
      <c r="O27" s="97"/>
      <c r="P27" s="95" t="s">
        <v>191</v>
      </c>
      <c r="Q27" s="96"/>
      <c r="R27" s="97"/>
      <c r="S27" s="95"/>
      <c r="T27" s="96"/>
      <c r="U27" s="106"/>
    </row>
    <row r="28" spans="2:21" ht="27" customHeight="1" x14ac:dyDescent="0.3">
      <c r="B28" s="52"/>
      <c r="C28" s="53"/>
      <c r="D28" s="74"/>
      <c r="E28" s="66" t="s">
        <v>122</v>
      </c>
      <c r="F28" s="75"/>
      <c r="G28" s="66" t="s">
        <v>160</v>
      </c>
      <c r="H28" s="67"/>
      <c r="I28" s="36" t="s">
        <v>166</v>
      </c>
      <c r="J28" s="66"/>
      <c r="K28" s="75"/>
      <c r="L28" s="67"/>
      <c r="M28" s="66"/>
      <c r="N28" s="75"/>
      <c r="O28" s="67"/>
      <c r="P28" s="66"/>
      <c r="Q28" s="75"/>
      <c r="R28" s="67"/>
      <c r="S28" s="66"/>
      <c r="T28" s="75"/>
      <c r="U28" s="99"/>
    </row>
    <row r="29" spans="2:21" ht="27" customHeight="1" thickBot="1" x14ac:dyDescent="0.35">
      <c r="B29" s="54"/>
      <c r="C29" s="55"/>
      <c r="D29" s="71"/>
      <c r="E29" s="68" t="s">
        <v>123</v>
      </c>
      <c r="F29" s="76"/>
      <c r="G29" s="68" t="s">
        <v>157</v>
      </c>
      <c r="H29" s="69"/>
      <c r="I29" s="40" t="s">
        <v>167</v>
      </c>
      <c r="J29" s="68"/>
      <c r="K29" s="76"/>
      <c r="L29" s="69"/>
      <c r="M29" s="68"/>
      <c r="N29" s="76"/>
      <c r="O29" s="69"/>
      <c r="P29" s="68"/>
      <c r="Q29" s="76"/>
      <c r="R29" s="69"/>
      <c r="S29" s="68"/>
      <c r="T29" s="76"/>
      <c r="U29" s="100"/>
    </row>
    <row r="30" spans="2:21" ht="27" customHeight="1" x14ac:dyDescent="0.3">
      <c r="B30" s="50" t="s">
        <v>178</v>
      </c>
      <c r="C30" s="51"/>
      <c r="D30" s="73" t="s">
        <v>141</v>
      </c>
      <c r="E30" s="85" t="s">
        <v>142</v>
      </c>
      <c r="F30" s="86"/>
      <c r="G30" s="64" t="s">
        <v>157</v>
      </c>
      <c r="H30" s="65"/>
      <c r="I30" s="39"/>
      <c r="J30" s="82" t="s">
        <v>193</v>
      </c>
      <c r="K30" s="79"/>
      <c r="L30" s="65"/>
      <c r="M30" s="64" t="s">
        <v>195</v>
      </c>
      <c r="N30" s="79"/>
      <c r="O30" s="65"/>
      <c r="P30" s="64" t="s">
        <v>196</v>
      </c>
      <c r="Q30" s="79"/>
      <c r="R30" s="65"/>
      <c r="S30" s="64"/>
      <c r="T30" s="79"/>
      <c r="U30" s="98"/>
    </row>
    <row r="31" spans="2:21" ht="27" customHeight="1" thickBot="1" x14ac:dyDescent="0.35">
      <c r="B31" s="54"/>
      <c r="C31" s="55"/>
      <c r="D31" s="71"/>
      <c r="E31" s="87" t="s">
        <v>143</v>
      </c>
      <c r="F31" s="88"/>
      <c r="G31" s="68" t="s">
        <v>157</v>
      </c>
      <c r="H31" s="69"/>
      <c r="I31" s="40"/>
      <c r="J31" s="84" t="s">
        <v>194</v>
      </c>
      <c r="K31" s="76"/>
      <c r="L31" s="69"/>
      <c r="M31" s="68" t="s">
        <v>189</v>
      </c>
      <c r="N31" s="76"/>
      <c r="O31" s="69"/>
      <c r="P31" s="68" t="s">
        <v>189</v>
      </c>
      <c r="Q31" s="76"/>
      <c r="R31" s="69"/>
      <c r="S31" s="107"/>
      <c r="T31" s="108"/>
      <c r="U31" s="109"/>
    </row>
    <row r="32" spans="2:21" ht="27" customHeight="1" x14ac:dyDescent="0.3">
      <c r="B32" s="50" t="s">
        <v>177</v>
      </c>
      <c r="C32" s="57"/>
      <c r="D32" s="73" t="s">
        <v>144</v>
      </c>
      <c r="E32" s="64" t="s">
        <v>122</v>
      </c>
      <c r="F32" s="65"/>
      <c r="G32" s="64" t="s">
        <v>157</v>
      </c>
      <c r="H32" s="65"/>
      <c r="I32" s="39" t="s">
        <v>170</v>
      </c>
      <c r="J32" s="82"/>
      <c r="K32" s="79"/>
      <c r="L32" s="65"/>
      <c r="M32" s="64"/>
      <c r="N32" s="79"/>
      <c r="O32" s="65"/>
      <c r="P32" s="64"/>
      <c r="Q32" s="79"/>
      <c r="R32" s="65"/>
      <c r="S32" s="64"/>
      <c r="T32" s="79"/>
      <c r="U32" s="98"/>
    </row>
    <row r="33" spans="2:21" ht="27" customHeight="1" x14ac:dyDescent="0.3">
      <c r="B33" s="58"/>
      <c r="C33" s="59"/>
      <c r="D33" s="72"/>
      <c r="E33" s="66" t="s">
        <v>123</v>
      </c>
      <c r="F33" s="67"/>
      <c r="G33" s="66" t="s">
        <v>161</v>
      </c>
      <c r="H33" s="67"/>
      <c r="I33" s="36" t="s">
        <v>171</v>
      </c>
      <c r="J33" s="83"/>
      <c r="K33" s="75"/>
      <c r="L33" s="67"/>
      <c r="M33" s="66"/>
      <c r="N33" s="75"/>
      <c r="O33" s="67"/>
      <c r="P33" s="66"/>
      <c r="Q33" s="75"/>
      <c r="R33" s="67"/>
      <c r="S33" s="66"/>
      <c r="T33" s="75"/>
      <c r="U33" s="99"/>
    </row>
    <row r="34" spans="2:21" ht="27" customHeight="1" x14ac:dyDescent="0.3">
      <c r="B34" s="58"/>
      <c r="C34" s="59"/>
      <c r="D34" s="70" t="s">
        <v>173</v>
      </c>
      <c r="E34" s="66" t="s">
        <v>122</v>
      </c>
      <c r="F34" s="67"/>
      <c r="G34" s="66" t="s">
        <v>157</v>
      </c>
      <c r="H34" s="67"/>
      <c r="I34" s="36" t="s">
        <v>170</v>
      </c>
      <c r="J34" s="83"/>
      <c r="K34" s="75"/>
      <c r="L34" s="67"/>
      <c r="M34" s="66"/>
      <c r="N34" s="75"/>
      <c r="O34" s="67"/>
      <c r="P34" s="66"/>
      <c r="Q34" s="75"/>
      <c r="R34" s="67"/>
      <c r="S34" s="66"/>
      <c r="T34" s="75"/>
      <c r="U34" s="99"/>
    </row>
    <row r="35" spans="2:21" ht="27" customHeight="1" x14ac:dyDescent="0.3">
      <c r="B35" s="58"/>
      <c r="C35" s="59"/>
      <c r="D35" s="72"/>
      <c r="E35" s="66" t="s">
        <v>123</v>
      </c>
      <c r="F35" s="67"/>
      <c r="G35" s="66" t="s">
        <v>161</v>
      </c>
      <c r="H35" s="67"/>
      <c r="I35" s="36" t="s">
        <v>171</v>
      </c>
      <c r="J35" s="101"/>
      <c r="K35" s="102"/>
      <c r="L35" s="103"/>
      <c r="M35" s="104"/>
      <c r="N35" s="102"/>
      <c r="O35" s="103"/>
      <c r="P35" s="104"/>
      <c r="Q35" s="102"/>
      <c r="R35" s="103"/>
      <c r="S35" s="104"/>
      <c r="T35" s="102"/>
      <c r="U35" s="105"/>
    </row>
    <row r="36" spans="2:21" ht="27" customHeight="1" x14ac:dyDescent="0.3">
      <c r="B36" s="58"/>
      <c r="C36" s="59"/>
      <c r="D36" s="70" t="s">
        <v>174</v>
      </c>
      <c r="E36" s="66" t="s">
        <v>122</v>
      </c>
      <c r="F36" s="67"/>
      <c r="G36" s="66" t="s">
        <v>157</v>
      </c>
      <c r="H36" s="67"/>
      <c r="I36" s="36" t="s">
        <v>170</v>
      </c>
      <c r="J36" s="83"/>
      <c r="K36" s="75"/>
      <c r="L36" s="67"/>
      <c r="M36" s="66"/>
      <c r="N36" s="75"/>
      <c r="O36" s="67"/>
      <c r="P36" s="66"/>
      <c r="Q36" s="75"/>
      <c r="R36" s="67"/>
      <c r="S36" s="66"/>
      <c r="T36" s="75"/>
      <c r="U36" s="99"/>
    </row>
    <row r="37" spans="2:21" ht="27" customHeight="1" x14ac:dyDescent="0.3">
      <c r="B37" s="58"/>
      <c r="C37" s="59"/>
      <c r="D37" s="72"/>
      <c r="E37" s="66" t="s">
        <v>123</v>
      </c>
      <c r="F37" s="67"/>
      <c r="G37" s="66" t="s">
        <v>161</v>
      </c>
      <c r="H37" s="67"/>
      <c r="I37" s="36" t="s">
        <v>171</v>
      </c>
      <c r="J37" s="101"/>
      <c r="K37" s="102"/>
      <c r="L37" s="103"/>
      <c r="M37" s="104"/>
      <c r="N37" s="102"/>
      <c r="O37" s="103"/>
      <c r="P37" s="104"/>
      <c r="Q37" s="102"/>
      <c r="R37" s="103"/>
      <c r="S37" s="104"/>
      <c r="T37" s="102"/>
      <c r="U37" s="105"/>
    </row>
    <row r="38" spans="2:21" ht="27" customHeight="1" x14ac:dyDescent="0.3">
      <c r="B38" s="58"/>
      <c r="C38" s="59"/>
      <c r="D38" s="70" t="s">
        <v>175</v>
      </c>
      <c r="E38" s="66" t="s">
        <v>122</v>
      </c>
      <c r="F38" s="67"/>
      <c r="G38" s="66" t="s">
        <v>157</v>
      </c>
      <c r="H38" s="67"/>
      <c r="I38" s="36" t="s">
        <v>170</v>
      </c>
      <c r="J38" s="83"/>
      <c r="K38" s="75"/>
      <c r="L38" s="67"/>
      <c r="M38" s="66"/>
      <c r="N38" s="75"/>
      <c r="O38" s="67"/>
      <c r="P38" s="66"/>
      <c r="Q38" s="75"/>
      <c r="R38" s="67"/>
      <c r="S38" s="66"/>
      <c r="T38" s="75"/>
      <c r="U38" s="99"/>
    </row>
    <row r="39" spans="2:21" ht="27" customHeight="1" thickBot="1" x14ac:dyDescent="0.35">
      <c r="B39" s="60"/>
      <c r="C39" s="61"/>
      <c r="D39" s="71"/>
      <c r="E39" s="68" t="s">
        <v>123</v>
      </c>
      <c r="F39" s="69"/>
      <c r="G39" s="68" t="s">
        <v>161</v>
      </c>
      <c r="H39" s="69"/>
      <c r="I39" s="40" t="s">
        <v>171</v>
      </c>
      <c r="J39" s="84"/>
      <c r="K39" s="76"/>
      <c r="L39" s="69"/>
      <c r="M39" s="68"/>
      <c r="N39" s="76"/>
      <c r="O39" s="69"/>
      <c r="P39" s="68"/>
      <c r="Q39" s="76"/>
      <c r="R39" s="69"/>
      <c r="S39" s="68"/>
      <c r="T39" s="76"/>
      <c r="U39" s="100"/>
    </row>
    <row r="40" spans="2:21" ht="27" customHeight="1" x14ac:dyDescent="0.3">
      <c r="B40" s="50" t="s">
        <v>152</v>
      </c>
      <c r="C40" s="51"/>
      <c r="D40" s="45" t="s">
        <v>145</v>
      </c>
      <c r="E40" s="46"/>
      <c r="F40" s="46"/>
      <c r="G40" s="64" t="s">
        <v>150</v>
      </c>
      <c r="H40" s="65"/>
      <c r="I40" s="39" t="s">
        <v>168</v>
      </c>
      <c r="J40" s="82"/>
      <c r="K40" s="79"/>
      <c r="L40" s="65"/>
      <c r="M40" s="64"/>
      <c r="N40" s="79"/>
      <c r="O40" s="65"/>
      <c r="P40" s="64"/>
      <c r="Q40" s="79"/>
      <c r="R40" s="65"/>
      <c r="S40" s="64"/>
      <c r="T40" s="79"/>
      <c r="U40" s="98"/>
    </row>
    <row r="41" spans="2:21" ht="27" customHeight="1" x14ac:dyDescent="0.3">
      <c r="B41" s="52"/>
      <c r="C41" s="53"/>
      <c r="D41" s="41" t="s">
        <v>146</v>
      </c>
      <c r="E41" s="42"/>
      <c r="F41" s="42"/>
      <c r="G41" s="66" t="s">
        <v>150</v>
      </c>
      <c r="H41" s="67"/>
      <c r="I41" s="36" t="s">
        <v>168</v>
      </c>
      <c r="J41" s="83"/>
      <c r="K41" s="75"/>
      <c r="L41" s="67"/>
      <c r="M41" s="66"/>
      <c r="N41" s="75"/>
      <c r="O41" s="67"/>
      <c r="P41" s="66"/>
      <c r="Q41" s="75"/>
      <c r="R41" s="67"/>
      <c r="S41" s="66"/>
      <c r="T41" s="75"/>
      <c r="U41" s="99"/>
    </row>
    <row r="42" spans="2:21" ht="27" customHeight="1" x14ac:dyDescent="0.3">
      <c r="B42" s="52"/>
      <c r="C42" s="53"/>
      <c r="D42" s="41" t="s">
        <v>147</v>
      </c>
      <c r="E42" s="42"/>
      <c r="F42" s="42"/>
      <c r="G42" s="66" t="s">
        <v>151</v>
      </c>
      <c r="H42" s="67"/>
      <c r="I42" s="36"/>
      <c r="J42" s="83"/>
      <c r="K42" s="75"/>
      <c r="L42" s="67"/>
      <c r="M42" s="66"/>
      <c r="N42" s="75"/>
      <c r="O42" s="67"/>
      <c r="P42" s="66"/>
      <c r="Q42" s="75"/>
      <c r="R42" s="67"/>
      <c r="S42" s="66"/>
      <c r="T42" s="75"/>
      <c r="U42" s="99"/>
    </row>
    <row r="43" spans="2:21" ht="27" customHeight="1" x14ac:dyDescent="0.3">
      <c r="B43" s="52"/>
      <c r="C43" s="53"/>
      <c r="D43" s="41" t="s">
        <v>148</v>
      </c>
      <c r="E43" s="42"/>
      <c r="F43" s="42"/>
      <c r="G43" s="66" t="s">
        <v>151</v>
      </c>
      <c r="H43" s="67"/>
      <c r="I43" s="36"/>
      <c r="J43" s="83"/>
      <c r="K43" s="75"/>
      <c r="L43" s="67"/>
      <c r="M43" s="66"/>
      <c r="N43" s="75"/>
      <c r="O43" s="67"/>
      <c r="P43" s="66"/>
      <c r="Q43" s="75"/>
      <c r="R43" s="67"/>
      <c r="S43" s="66"/>
      <c r="T43" s="75"/>
      <c r="U43" s="99"/>
    </row>
    <row r="44" spans="2:21" ht="27" customHeight="1" thickBot="1" x14ac:dyDescent="0.35">
      <c r="B44" s="54"/>
      <c r="C44" s="55"/>
      <c r="D44" s="43" t="s">
        <v>149</v>
      </c>
      <c r="E44" s="44"/>
      <c r="F44" s="44"/>
      <c r="G44" s="68" t="s">
        <v>151</v>
      </c>
      <c r="H44" s="69"/>
      <c r="I44" s="40"/>
      <c r="J44" s="84"/>
      <c r="K44" s="76"/>
      <c r="L44" s="69"/>
      <c r="M44" s="68"/>
      <c r="N44" s="76"/>
      <c r="O44" s="69"/>
      <c r="P44" s="68"/>
      <c r="Q44" s="76"/>
      <c r="R44" s="69"/>
      <c r="S44" s="68"/>
      <c r="T44" s="76"/>
      <c r="U44" s="100"/>
    </row>
    <row r="45" spans="2:21" ht="27" customHeight="1" x14ac:dyDescent="0.3">
      <c r="B45" s="56" t="s">
        <v>153</v>
      </c>
      <c r="C45" s="57"/>
      <c r="D45" s="45" t="s">
        <v>154</v>
      </c>
      <c r="E45" s="46"/>
      <c r="F45" s="46"/>
      <c r="G45" s="64" t="s">
        <v>162</v>
      </c>
      <c r="H45" s="65"/>
      <c r="I45" s="39" t="s">
        <v>172</v>
      </c>
      <c r="J45" s="123"/>
      <c r="K45" s="124"/>
      <c r="L45" s="125"/>
      <c r="M45" s="126"/>
      <c r="N45" s="124"/>
      <c r="O45" s="125"/>
      <c r="P45" s="126"/>
      <c r="Q45" s="124"/>
      <c r="R45" s="125"/>
      <c r="S45" s="64"/>
      <c r="T45" s="79"/>
      <c r="U45" s="98"/>
    </row>
    <row r="46" spans="2:21" ht="27" customHeight="1" x14ac:dyDescent="0.3">
      <c r="B46" s="58"/>
      <c r="C46" s="59"/>
      <c r="D46" s="41" t="s">
        <v>155</v>
      </c>
      <c r="E46" s="42"/>
      <c r="F46" s="42"/>
      <c r="G46" s="66" t="s">
        <v>163</v>
      </c>
      <c r="H46" s="67"/>
      <c r="I46" s="36" t="s">
        <v>172</v>
      </c>
      <c r="J46" s="83"/>
      <c r="K46" s="75"/>
      <c r="L46" s="67"/>
      <c r="M46" s="66"/>
      <c r="N46" s="75"/>
      <c r="O46" s="67"/>
      <c r="P46" s="66"/>
      <c r="Q46" s="75"/>
      <c r="R46" s="67"/>
      <c r="S46" s="104"/>
      <c r="T46" s="102"/>
      <c r="U46" s="105"/>
    </row>
    <row r="47" spans="2:21" ht="27" customHeight="1" thickBot="1" x14ac:dyDescent="0.35">
      <c r="B47" s="60"/>
      <c r="C47" s="61"/>
      <c r="D47" s="43" t="s">
        <v>156</v>
      </c>
      <c r="E47" s="44"/>
      <c r="F47" s="44"/>
      <c r="G47" s="68" t="s">
        <v>164</v>
      </c>
      <c r="H47" s="69"/>
      <c r="I47" s="40" t="s">
        <v>172</v>
      </c>
      <c r="J47" s="84"/>
      <c r="K47" s="76"/>
      <c r="L47" s="69"/>
      <c r="M47" s="68"/>
      <c r="N47" s="76"/>
      <c r="O47" s="69"/>
      <c r="P47" s="68"/>
      <c r="Q47" s="76"/>
      <c r="R47" s="69"/>
      <c r="S47" s="68"/>
      <c r="T47" s="76"/>
      <c r="U47" s="100"/>
    </row>
    <row r="48" spans="2:21" x14ac:dyDescent="0.3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</row>
    <row r="49" spans="2:21" x14ac:dyDescent="0.3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</row>
    <row r="50" spans="2:21" x14ac:dyDescent="0.3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</row>
    <row r="51" spans="2:21" x14ac:dyDescent="0.3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</row>
    <row r="52" spans="2:21" x14ac:dyDescent="0.3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</row>
    <row r="53" spans="2:21" x14ac:dyDescent="0.3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</row>
    <row r="54" spans="2:21" x14ac:dyDescent="0.3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</row>
    <row r="55" spans="2:21" x14ac:dyDescent="0.3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</row>
    <row r="56" spans="2:21" x14ac:dyDescent="0.3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</row>
    <row r="57" spans="2:21" x14ac:dyDescent="0.3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</row>
    <row r="58" spans="2:21" x14ac:dyDescent="0.3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</row>
    <row r="59" spans="2:21" x14ac:dyDescent="0.3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</row>
    <row r="60" spans="2:21" x14ac:dyDescent="0.3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</row>
    <row r="61" spans="2:21" x14ac:dyDescent="0.3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</row>
    <row r="62" spans="2:21" x14ac:dyDescent="0.3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</row>
    <row r="63" spans="2:21" x14ac:dyDescent="0.3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</row>
    <row r="64" spans="2:21" x14ac:dyDescent="0.3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</row>
    <row r="65" spans="2:21" x14ac:dyDescent="0.3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</row>
    <row r="66" spans="2:21" x14ac:dyDescent="0.3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</row>
    <row r="67" spans="2:21" x14ac:dyDescent="0.3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</row>
    <row r="68" spans="2:21" x14ac:dyDescent="0.3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</row>
    <row r="69" spans="2:21" x14ac:dyDescent="0.3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</row>
    <row r="70" spans="2:21" x14ac:dyDescent="0.3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</row>
    <row r="71" spans="2:21" x14ac:dyDescent="0.3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</row>
    <row r="72" spans="2:21" x14ac:dyDescent="0.3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</row>
    <row r="73" spans="2:21" x14ac:dyDescent="0.3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</row>
    <row r="74" spans="2:21" x14ac:dyDescent="0.3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</row>
    <row r="75" spans="2:21" x14ac:dyDescent="0.3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</row>
    <row r="76" spans="2:21" x14ac:dyDescent="0.3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</row>
    <row r="77" spans="2:21" x14ac:dyDescent="0.3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</row>
    <row r="78" spans="2:21" x14ac:dyDescent="0.3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</row>
    <row r="79" spans="2:21" x14ac:dyDescent="0.3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</row>
    <row r="80" spans="2:21" x14ac:dyDescent="0.3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</row>
    <row r="81" spans="2:21" x14ac:dyDescent="0.3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</row>
    <row r="82" spans="2:21" x14ac:dyDescent="0.3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</row>
    <row r="83" spans="2:21" x14ac:dyDescent="0.3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</row>
    <row r="84" spans="2:21" x14ac:dyDescent="0.3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</row>
    <row r="85" spans="2:21" x14ac:dyDescent="0.3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</row>
    <row r="86" spans="2:21" x14ac:dyDescent="0.3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</row>
    <row r="87" spans="2:21" x14ac:dyDescent="0.3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</row>
    <row r="88" spans="2:21" x14ac:dyDescent="0.3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</row>
    <row r="89" spans="2:21" x14ac:dyDescent="0.3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</row>
    <row r="90" spans="2:21" x14ac:dyDescent="0.3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</row>
    <row r="91" spans="2:21" x14ac:dyDescent="0.3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</row>
    <row r="92" spans="2:21" x14ac:dyDescent="0.3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</row>
    <row r="93" spans="2:21" x14ac:dyDescent="0.3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</row>
    <row r="94" spans="2:21" x14ac:dyDescent="0.3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</row>
    <row r="95" spans="2:21" x14ac:dyDescent="0.3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</row>
    <row r="96" spans="2:21" x14ac:dyDescent="0.3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</row>
    <row r="97" spans="2:21" x14ac:dyDescent="0.3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</row>
    <row r="98" spans="2:21" x14ac:dyDescent="0.3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</row>
    <row r="99" spans="2:21" x14ac:dyDescent="0.3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</row>
  </sheetData>
  <mergeCells count="251">
    <mergeCell ref="N3:Q4"/>
    <mergeCell ref="R3:U4"/>
    <mergeCell ref="O5:Q7"/>
    <mergeCell ref="R5:R7"/>
    <mergeCell ref="S5:U7"/>
    <mergeCell ref="N5:N7"/>
    <mergeCell ref="N2:Q2"/>
    <mergeCell ref="R2:U2"/>
    <mergeCell ref="J45:L45"/>
    <mergeCell ref="M45:O45"/>
    <mergeCell ref="P45:R45"/>
    <mergeCell ref="S45:U45"/>
    <mergeCell ref="J39:L39"/>
    <mergeCell ref="M39:O39"/>
    <mergeCell ref="P39:R39"/>
    <mergeCell ref="S39:U39"/>
    <mergeCell ref="J40:L40"/>
    <mergeCell ref="M40:O40"/>
    <mergeCell ref="P40:R40"/>
    <mergeCell ref="S40:U40"/>
    <mergeCell ref="J41:L41"/>
    <mergeCell ref="M41:O41"/>
    <mergeCell ref="P41:R41"/>
    <mergeCell ref="S41:U41"/>
    <mergeCell ref="J46:L46"/>
    <mergeCell ref="M46:O46"/>
    <mergeCell ref="P46:R46"/>
    <mergeCell ref="S46:U46"/>
    <mergeCell ref="J47:L47"/>
    <mergeCell ref="M47:O47"/>
    <mergeCell ref="P47:R47"/>
    <mergeCell ref="S47:U47"/>
    <mergeCell ref="J42:L42"/>
    <mergeCell ref="M42:O42"/>
    <mergeCell ref="P42:R42"/>
    <mergeCell ref="S42:U42"/>
    <mergeCell ref="J43:L43"/>
    <mergeCell ref="M43:O43"/>
    <mergeCell ref="P43:R43"/>
    <mergeCell ref="S43:U43"/>
    <mergeCell ref="J44:L44"/>
    <mergeCell ref="M44:O44"/>
    <mergeCell ref="P44:R44"/>
    <mergeCell ref="S44:U44"/>
    <mergeCell ref="J37:L37"/>
    <mergeCell ref="M37:O37"/>
    <mergeCell ref="P37:R37"/>
    <mergeCell ref="S37:U37"/>
    <mergeCell ref="J38:L38"/>
    <mergeCell ref="M38:O38"/>
    <mergeCell ref="P38:R38"/>
    <mergeCell ref="S38:U38"/>
    <mergeCell ref="J33:L33"/>
    <mergeCell ref="M33:O33"/>
    <mergeCell ref="P33:R33"/>
    <mergeCell ref="S33:U33"/>
    <mergeCell ref="J34:L34"/>
    <mergeCell ref="M34:O34"/>
    <mergeCell ref="P34:R34"/>
    <mergeCell ref="S34:U34"/>
    <mergeCell ref="J35:L35"/>
    <mergeCell ref="M35:O35"/>
    <mergeCell ref="P35:R35"/>
    <mergeCell ref="S35:U35"/>
    <mergeCell ref="J36:L36"/>
    <mergeCell ref="M36:O36"/>
    <mergeCell ref="P36:R36"/>
    <mergeCell ref="S36:U36"/>
    <mergeCell ref="J30:L30"/>
    <mergeCell ref="J31:L31"/>
    <mergeCell ref="M30:O30"/>
    <mergeCell ref="M31:O31"/>
    <mergeCell ref="P30:R30"/>
    <mergeCell ref="P31:R31"/>
    <mergeCell ref="S30:U30"/>
    <mergeCell ref="S31:U31"/>
    <mergeCell ref="J32:L32"/>
    <mergeCell ref="M32:O32"/>
    <mergeCell ref="P32:R32"/>
    <mergeCell ref="S32:U32"/>
    <mergeCell ref="M29:O29"/>
    <mergeCell ref="J18:L18"/>
    <mergeCell ref="J19:L19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S26:U26"/>
    <mergeCell ref="S27:U27"/>
    <mergeCell ref="S28:U28"/>
    <mergeCell ref="S29:U29"/>
    <mergeCell ref="P18:R18"/>
    <mergeCell ref="P19:R19"/>
    <mergeCell ref="P20:R20"/>
    <mergeCell ref="P21:R21"/>
    <mergeCell ref="P22:R22"/>
    <mergeCell ref="P23:R23"/>
    <mergeCell ref="P24:R24"/>
    <mergeCell ref="P25:R25"/>
    <mergeCell ref="P26:R26"/>
    <mergeCell ref="P27:R27"/>
    <mergeCell ref="P28:R28"/>
    <mergeCell ref="P29:R29"/>
    <mergeCell ref="S17:U17"/>
    <mergeCell ref="S18:U18"/>
    <mergeCell ref="S19:U19"/>
    <mergeCell ref="S20:U20"/>
    <mergeCell ref="S21:U21"/>
    <mergeCell ref="S22:U22"/>
    <mergeCell ref="S23:U23"/>
    <mergeCell ref="S24:U24"/>
    <mergeCell ref="S25:U25"/>
    <mergeCell ref="S10:U10"/>
    <mergeCell ref="S11:U11"/>
    <mergeCell ref="S12:U12"/>
    <mergeCell ref="J13:L13"/>
    <mergeCell ref="J14:L14"/>
    <mergeCell ref="S13:U13"/>
    <mergeCell ref="S14:U14"/>
    <mergeCell ref="J15:L15"/>
    <mergeCell ref="J16:L16"/>
    <mergeCell ref="M13:O13"/>
    <mergeCell ref="M14:O14"/>
    <mergeCell ref="M15:O15"/>
    <mergeCell ref="M16:O16"/>
    <mergeCell ref="P13:R13"/>
    <mergeCell ref="P14:R14"/>
    <mergeCell ref="P15:R15"/>
    <mergeCell ref="P16:R16"/>
    <mergeCell ref="S15:U15"/>
    <mergeCell ref="S16:U16"/>
    <mergeCell ref="G42:H42"/>
    <mergeCell ref="G43:H43"/>
    <mergeCell ref="G44:H44"/>
    <mergeCell ref="G45:H45"/>
    <mergeCell ref="G46:H46"/>
    <mergeCell ref="G47:H47"/>
    <mergeCell ref="J9:L9"/>
    <mergeCell ref="M9:O9"/>
    <mergeCell ref="P9:R9"/>
    <mergeCell ref="G18:H18"/>
    <mergeCell ref="G19:H19"/>
    <mergeCell ref="G20:H20"/>
    <mergeCell ref="G21:H21"/>
    <mergeCell ref="G22:H22"/>
    <mergeCell ref="G23:H23"/>
    <mergeCell ref="M12:O12"/>
    <mergeCell ref="P10:R10"/>
    <mergeCell ref="P11:R11"/>
    <mergeCell ref="P12:R12"/>
    <mergeCell ref="J17:L17"/>
    <mergeCell ref="M17:O17"/>
    <mergeCell ref="P17:R17"/>
    <mergeCell ref="M27:O27"/>
    <mergeCell ref="M28:O28"/>
    <mergeCell ref="S9:U9"/>
    <mergeCell ref="J10:L10"/>
    <mergeCell ref="J11:L11"/>
    <mergeCell ref="J12:L12"/>
    <mergeCell ref="M10:O10"/>
    <mergeCell ref="M11:O11"/>
    <mergeCell ref="G37:H37"/>
    <mergeCell ref="G38:H38"/>
    <mergeCell ref="E36:F36"/>
    <mergeCell ref="E37:F37"/>
    <mergeCell ref="E38:F38"/>
    <mergeCell ref="G24:H24"/>
    <mergeCell ref="G25:H25"/>
    <mergeCell ref="G26:H26"/>
    <mergeCell ref="G27:H27"/>
    <mergeCell ref="G28:H28"/>
    <mergeCell ref="G29:H29"/>
    <mergeCell ref="E30:F30"/>
    <mergeCell ref="E31:F31"/>
    <mergeCell ref="G30:H30"/>
    <mergeCell ref="G31:H31"/>
    <mergeCell ref="G15:H15"/>
    <mergeCell ref="G16:H16"/>
    <mergeCell ref="G17:H17"/>
    <mergeCell ref="E39:F39"/>
    <mergeCell ref="G39:H39"/>
    <mergeCell ref="G40:H40"/>
    <mergeCell ref="G41:H41"/>
    <mergeCell ref="G32:H32"/>
    <mergeCell ref="G33:H33"/>
    <mergeCell ref="E32:F32"/>
    <mergeCell ref="E33:F33"/>
    <mergeCell ref="E34:F34"/>
    <mergeCell ref="E35:F35"/>
    <mergeCell ref="G35:H35"/>
    <mergeCell ref="G34:H34"/>
    <mergeCell ref="G36:H36"/>
    <mergeCell ref="E24:F24"/>
    <mergeCell ref="E25:F25"/>
    <mergeCell ref="E26:F26"/>
    <mergeCell ref="E27:F27"/>
    <mergeCell ref="E28:F28"/>
    <mergeCell ref="E29:F29"/>
    <mergeCell ref="B9:F9"/>
    <mergeCell ref="E16:F16"/>
    <mergeCell ref="E17:F17"/>
    <mergeCell ref="E18:F18"/>
    <mergeCell ref="E19:F19"/>
    <mergeCell ref="E20:F20"/>
    <mergeCell ref="E21:F21"/>
    <mergeCell ref="D18:D19"/>
    <mergeCell ref="D20:D21"/>
    <mergeCell ref="E11:F11"/>
    <mergeCell ref="E12:F12"/>
    <mergeCell ref="E13:F13"/>
    <mergeCell ref="E14:F14"/>
    <mergeCell ref="E15:F15"/>
    <mergeCell ref="A1:U1"/>
    <mergeCell ref="B40:C44"/>
    <mergeCell ref="B45:C47"/>
    <mergeCell ref="B10:C12"/>
    <mergeCell ref="B13:C17"/>
    <mergeCell ref="G9:H9"/>
    <mergeCell ref="G10:H10"/>
    <mergeCell ref="G11:H11"/>
    <mergeCell ref="G12:H12"/>
    <mergeCell ref="G13:H13"/>
    <mergeCell ref="G14:H14"/>
    <mergeCell ref="B18:C29"/>
    <mergeCell ref="B30:C31"/>
    <mergeCell ref="B32:C39"/>
    <mergeCell ref="D38:D39"/>
    <mergeCell ref="D36:D37"/>
    <mergeCell ref="D34:D35"/>
    <mergeCell ref="D32:D33"/>
    <mergeCell ref="D30:D31"/>
    <mergeCell ref="D27:D29"/>
    <mergeCell ref="D24:D26"/>
    <mergeCell ref="D22:D23"/>
    <mergeCell ref="E22:F22"/>
    <mergeCell ref="E23:F23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61" orientation="portrait" r:id="rId1"/>
  <rowBreaks count="1" manualBreakCount="1">
    <brk id="4" max="21" man="1"/>
  </rowBreaks>
  <colBreaks count="1" manualBreakCount="1">
    <brk id="13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P35"/>
  <sheetViews>
    <sheetView view="pageBreakPreview" zoomScale="70" zoomScaleNormal="85" zoomScaleSheetLayoutView="70" workbookViewId="0">
      <selection activeCell="P13" sqref="P13"/>
    </sheetView>
  </sheetViews>
  <sheetFormatPr defaultRowHeight="16.5" x14ac:dyDescent="0.3"/>
  <cols>
    <col min="1" max="1" width="3.125" style="1" customWidth="1"/>
    <col min="2" max="3" width="6" style="1" customWidth="1"/>
    <col min="4" max="4" width="8.75" style="1" customWidth="1"/>
    <col min="5" max="5" width="5.125" style="1" customWidth="1"/>
    <col min="6" max="6" width="48" style="1" customWidth="1"/>
    <col min="7" max="7" width="23.625" style="1" customWidth="1"/>
    <col min="8" max="8" width="24.125" style="1" customWidth="1"/>
    <col min="9" max="9" width="1.5" style="1" customWidth="1"/>
    <col min="10" max="15" width="9" style="1"/>
    <col min="16" max="16" width="14.5" style="1" customWidth="1"/>
    <col min="17" max="16384" width="9" style="1"/>
  </cols>
  <sheetData>
    <row r="1" spans="1:16" ht="33" customHeight="1" thickBot="1" x14ac:dyDescent="0.35">
      <c r="P1" s="28" t="s">
        <v>114</v>
      </c>
    </row>
    <row r="2" spans="1:16" ht="22.5" customHeight="1" thickBot="1" x14ac:dyDescent="0.35">
      <c r="B2" s="127" t="s">
        <v>5</v>
      </c>
      <c r="C2" s="128"/>
      <c r="D2" s="128"/>
      <c r="E2" s="128"/>
      <c r="F2" s="128"/>
      <c r="G2" s="15" t="s">
        <v>105</v>
      </c>
      <c r="H2" s="2" t="s">
        <v>7</v>
      </c>
      <c r="P2" s="29">
        <v>3</v>
      </c>
    </row>
    <row r="3" spans="1:16" ht="54.75" customHeight="1" thickBot="1" x14ac:dyDescent="0.35">
      <c r="B3" s="129"/>
      <c r="C3" s="130"/>
      <c r="D3" s="130"/>
      <c r="E3" s="130"/>
      <c r="F3" s="130"/>
      <c r="G3" s="14"/>
      <c r="H3" s="3"/>
    </row>
    <row r="4" spans="1:16" ht="25.5" customHeight="1" x14ac:dyDescent="0.3">
      <c r="B4" s="131" t="s">
        <v>6</v>
      </c>
      <c r="C4" s="132"/>
      <c r="D4" s="132"/>
      <c r="E4" s="132"/>
      <c r="F4" s="132"/>
      <c r="G4" s="170" t="s">
        <v>115</v>
      </c>
      <c r="H4" s="171"/>
    </row>
    <row r="5" spans="1:16" ht="36.950000000000003" customHeight="1" x14ac:dyDescent="0.3">
      <c r="B5" s="166" t="s">
        <v>2</v>
      </c>
      <c r="C5" s="167"/>
      <c r="D5" s="168" t="s">
        <v>8</v>
      </c>
      <c r="E5" s="169"/>
      <c r="F5" s="13" t="s">
        <v>3</v>
      </c>
      <c r="G5" s="4" t="s">
        <v>1</v>
      </c>
      <c r="H5" s="5" t="s">
        <v>4</v>
      </c>
    </row>
    <row r="6" spans="1:16" ht="30" customHeight="1" x14ac:dyDescent="0.3">
      <c r="B6" s="160">
        <v>1</v>
      </c>
      <c r="C6" s="161"/>
      <c r="D6" s="133" t="str">
        <f>IF($P$2=1,랜덤!S7,IF($P$2=2,랜덤!T7,IF($P$2=3,랜덤!U7,IF($P$2=4,랜덤!V7,0))))</f>
        <v>이휘근
양영균
고병준</v>
      </c>
      <c r="E6" s="134"/>
      <c r="F6" s="20" t="str">
        <f ca="1">랜덤!E2</f>
        <v>Cooling Water Pump 전기실 점검</v>
      </c>
      <c r="G6" s="6" t="s">
        <v>10</v>
      </c>
      <c r="H6" s="7"/>
    </row>
    <row r="7" spans="1:16" ht="30" customHeight="1" x14ac:dyDescent="0.3">
      <c r="B7" s="162"/>
      <c r="C7" s="163"/>
      <c r="D7" s="135"/>
      <c r="E7" s="136"/>
      <c r="F7" s="26" t="str">
        <f ca="1">랜덤!E3</f>
        <v>Bed Ash System 점검(3F)</v>
      </c>
      <c r="G7" s="6" t="s">
        <v>104</v>
      </c>
      <c r="H7" s="7"/>
    </row>
    <row r="8" spans="1:16" ht="30" customHeight="1" x14ac:dyDescent="0.3">
      <c r="B8" s="162"/>
      <c r="C8" s="163"/>
      <c r="D8" s="135"/>
      <c r="E8" s="136"/>
      <c r="F8" s="20" t="str">
        <f ca="1">랜덤!E4</f>
        <v>GIS Area 점검</v>
      </c>
      <c r="G8" s="6" t="s">
        <v>100</v>
      </c>
      <c r="H8" s="7"/>
    </row>
    <row r="9" spans="1:16" ht="30" customHeight="1" x14ac:dyDescent="0.3">
      <c r="B9" s="162"/>
      <c r="C9" s="163"/>
      <c r="D9" s="135"/>
      <c r="E9" s="136"/>
      <c r="F9" s="26" t="str">
        <f ca="1">랜덤!E5</f>
        <v>PA/SA/ID Fan 점검(1F)</v>
      </c>
      <c r="G9" s="6" t="s">
        <v>10</v>
      </c>
      <c r="H9" s="7"/>
    </row>
    <row r="10" spans="1:16" ht="30" customHeight="1" x14ac:dyDescent="0.3">
      <c r="B10" s="162"/>
      <c r="C10" s="163"/>
      <c r="D10" s="135"/>
      <c r="E10" s="136"/>
      <c r="F10" s="20" t="str">
        <f ca="1">랜덤!E6</f>
        <v>Coal Daily Silo Air Canon 및 Silo 온도 점검(5F)</v>
      </c>
      <c r="G10" s="6" t="s">
        <v>99</v>
      </c>
      <c r="H10" s="7"/>
    </row>
    <row r="11" spans="1:16" ht="30" hidden="1" customHeight="1" x14ac:dyDescent="0.3">
      <c r="B11" s="164"/>
      <c r="C11" s="165"/>
      <c r="D11" s="137"/>
      <c r="E11" s="138"/>
      <c r="F11" s="26" t="str">
        <f ca="1">랜덤!E7</f>
        <v>ACWP, MCWP 점검</v>
      </c>
      <c r="G11" s="6" t="s">
        <v>10</v>
      </c>
      <c r="H11" s="7"/>
    </row>
    <row r="12" spans="1:16" ht="30" customHeight="1" x14ac:dyDescent="0.3">
      <c r="A12" s="1" t="s">
        <v>0</v>
      </c>
      <c r="B12" s="154">
        <v>8.3333333333333329E-2</v>
      </c>
      <c r="C12" s="155"/>
      <c r="D12" s="133" t="str">
        <f>IF($P$2=1,랜덤!S7,IF($P$2=2,랜덤!T7,IF($P$2=3,랜덤!U7,IF($P$2=4,랜덤!V7,0))))</f>
        <v>이휘근
양영균
고병준</v>
      </c>
      <c r="E12" s="134"/>
      <c r="F12" s="20" t="str">
        <f ca="1">랜덤!E7</f>
        <v>ACWP, MCWP 점검</v>
      </c>
      <c r="G12" s="6" t="s">
        <v>10</v>
      </c>
      <c r="H12" s="7"/>
    </row>
    <row r="13" spans="1:16" ht="30" customHeight="1" x14ac:dyDescent="0.3">
      <c r="B13" s="156"/>
      <c r="C13" s="157"/>
      <c r="D13" s="135"/>
      <c r="E13" s="136"/>
      <c r="F13" s="26" t="str">
        <f ca="1">랜덤!E8</f>
        <v>지하 HVAC Room 공조기 및 Sump Pump 점검</v>
      </c>
      <c r="G13" s="6" t="s">
        <v>10</v>
      </c>
      <c r="H13" s="7"/>
    </row>
    <row r="14" spans="1:16" ht="30" customHeight="1" x14ac:dyDescent="0.3">
      <c r="B14" s="156"/>
      <c r="C14" s="157"/>
      <c r="D14" s="135"/>
      <c r="E14" s="136"/>
      <c r="F14" s="20" t="str">
        <f ca="1">랜덤!E9</f>
        <v>Drain To CCFT 및 Flash Tank Area 점검</v>
      </c>
      <c r="G14" s="6" t="s">
        <v>10</v>
      </c>
      <c r="H14" s="7"/>
    </row>
    <row r="15" spans="1:16" ht="30" customHeight="1" x14ac:dyDescent="0.3">
      <c r="B15" s="156"/>
      <c r="C15" s="157"/>
      <c r="D15" s="135"/>
      <c r="E15" s="136"/>
      <c r="F15" s="26" t="str">
        <f ca="1">랜덤!E10</f>
        <v>Spiess Valve(L,R) 점검(4F)</v>
      </c>
      <c r="G15" s="6" t="s">
        <v>10</v>
      </c>
      <c r="H15" s="7"/>
    </row>
    <row r="16" spans="1:16" ht="30" customHeight="1" x14ac:dyDescent="0.3">
      <c r="B16" s="156"/>
      <c r="C16" s="157"/>
      <c r="D16" s="135"/>
      <c r="E16" s="136"/>
      <c r="F16" s="20" t="str">
        <f ca="1">랜덤!E11</f>
        <v>Limestone Blower/Bed Ash System 점검(1F)</v>
      </c>
      <c r="G16" s="6" t="s">
        <v>10</v>
      </c>
      <c r="H16" s="7"/>
    </row>
    <row r="17" spans="2:14" ht="30" hidden="1" customHeight="1" x14ac:dyDescent="0.3">
      <c r="B17" s="158"/>
      <c r="C17" s="159"/>
      <c r="D17" s="137"/>
      <c r="E17" s="138"/>
      <c r="F17" s="20" t="str">
        <f ca="1">랜덤!E13</f>
        <v>TBN Vacuum Seal Water 상태 점검</v>
      </c>
      <c r="G17" s="6" t="s">
        <v>10</v>
      </c>
      <c r="H17" s="7"/>
    </row>
    <row r="18" spans="2:14" ht="30" customHeight="1" x14ac:dyDescent="0.3">
      <c r="B18" s="154">
        <v>0.16666666666666666</v>
      </c>
      <c r="C18" s="155"/>
      <c r="D18" s="133" t="str">
        <f>IF($P$2=1,랜덤!S7,IF($P$2=2,랜덤!T7,IF($P$2=3,랜덤!U7,IF($P$2=4,랜덤!V7,0))))</f>
        <v>이휘근
양영균
고병준</v>
      </c>
      <c r="E18" s="134"/>
      <c r="F18" s="26" t="str">
        <f ca="1">랜덤!E12</f>
        <v>Steam Drum 점검(7F)</v>
      </c>
      <c r="G18" s="6" t="s">
        <v>10</v>
      </c>
      <c r="H18" s="7"/>
    </row>
    <row r="19" spans="2:14" ht="30" customHeight="1" x14ac:dyDescent="0.3">
      <c r="B19" s="156"/>
      <c r="C19" s="157"/>
      <c r="D19" s="135"/>
      <c r="E19" s="136"/>
      <c r="F19" s="20" t="str">
        <f ca="1">랜덤!E13</f>
        <v>TBN Vacuum Seal Water 상태 점검</v>
      </c>
      <c r="G19" s="6" t="s">
        <v>10</v>
      </c>
      <c r="H19" s="8"/>
    </row>
    <row r="20" spans="2:14" ht="30" customHeight="1" x14ac:dyDescent="0.3">
      <c r="B20" s="156"/>
      <c r="C20" s="157"/>
      <c r="D20" s="135"/>
      <c r="E20" s="136"/>
      <c r="F20" s="26" t="str">
        <f ca="1">랜덤!E14</f>
        <v>Bio Feeding System 점검(Dosing, Slewing ..)(5F)</v>
      </c>
      <c r="G20" s="6" t="s">
        <v>10</v>
      </c>
      <c r="H20" s="7"/>
    </row>
    <row r="21" spans="2:14" ht="30" customHeight="1" x14ac:dyDescent="0.3">
      <c r="B21" s="156"/>
      <c r="C21" s="157"/>
      <c r="D21" s="135"/>
      <c r="E21" s="136"/>
      <c r="F21" s="20" t="str">
        <f ca="1">랜덤!E15</f>
        <v>CCWP 점검</v>
      </c>
      <c r="G21" s="6" t="s">
        <v>10</v>
      </c>
      <c r="H21" s="7"/>
    </row>
    <row r="22" spans="2:14" ht="30" customHeight="1" x14ac:dyDescent="0.3">
      <c r="B22" s="156"/>
      <c r="C22" s="157"/>
      <c r="D22" s="135"/>
      <c r="E22" s="136"/>
      <c r="F22" s="26" t="str">
        <f ca="1">랜덤!E16</f>
        <v>Demi WTR Pump 점검</v>
      </c>
      <c r="G22" s="6" t="s">
        <v>10</v>
      </c>
      <c r="H22" s="7"/>
    </row>
    <row r="23" spans="2:14" ht="30" hidden="1" customHeight="1" x14ac:dyDescent="0.3">
      <c r="B23" s="158"/>
      <c r="C23" s="159"/>
      <c r="D23" s="137"/>
      <c r="E23" s="138"/>
      <c r="F23" s="20" t="str">
        <f ca="1">랜덤!E19</f>
        <v>BFP 및 Co2 Room 점검(1F)</v>
      </c>
      <c r="G23" s="6" t="s">
        <v>10</v>
      </c>
      <c r="H23" s="7"/>
    </row>
    <row r="24" spans="2:14" ht="30" customHeight="1" x14ac:dyDescent="0.3">
      <c r="B24" s="139">
        <v>0.25</v>
      </c>
      <c r="C24" s="140"/>
      <c r="D24" s="133" t="str">
        <f>IF($P$2=1,랜덤!S7,IF($P$2=2,랜덤!T7,IF($P$2=3,랜덤!U7,IF($P$2=4,랜덤!V7,0))))</f>
        <v>이휘근
양영균
고병준</v>
      </c>
      <c r="E24" s="134"/>
      <c r="F24" s="26" t="str">
        <f ca="1">랜덤!E17</f>
        <v>HP Process STM Line 점검</v>
      </c>
      <c r="G24" s="6" t="s">
        <v>10</v>
      </c>
      <c r="H24" s="7"/>
    </row>
    <row r="25" spans="2:14" ht="30" customHeight="1" x14ac:dyDescent="0.3">
      <c r="B25" s="141"/>
      <c r="C25" s="142"/>
      <c r="D25" s="135"/>
      <c r="E25" s="136"/>
      <c r="F25" s="20" t="str">
        <f ca="1">랜덤!E18</f>
        <v>Sonic Horn 점검(7F~8F)</v>
      </c>
      <c r="G25" s="6" t="s">
        <v>10</v>
      </c>
      <c r="H25" s="7"/>
    </row>
    <row r="26" spans="2:14" ht="30" customHeight="1" x14ac:dyDescent="0.3">
      <c r="B26" s="141"/>
      <c r="C26" s="142"/>
      <c r="D26" s="135"/>
      <c r="E26" s="136"/>
      <c r="F26" s="26" t="str">
        <f ca="1">랜덤!E19</f>
        <v>BFP 및 Co2 Room 점검(1F)</v>
      </c>
      <c r="G26" s="6" t="s">
        <v>10</v>
      </c>
      <c r="H26" s="7"/>
    </row>
    <row r="27" spans="2:14" ht="30" customHeight="1" x14ac:dyDescent="0.3">
      <c r="B27" s="141"/>
      <c r="C27" s="142"/>
      <c r="D27" s="135"/>
      <c r="E27" s="136"/>
      <c r="F27" s="20" t="str">
        <f ca="1">랜덤!E20</f>
        <v>TBN 계측기 도압관 Leak 여부 점검</v>
      </c>
      <c r="G27" s="6" t="s">
        <v>10</v>
      </c>
      <c r="H27" s="7"/>
    </row>
    <row r="28" spans="2:14" ht="30" customHeight="1" x14ac:dyDescent="0.3">
      <c r="B28" s="141"/>
      <c r="C28" s="142"/>
      <c r="D28" s="135"/>
      <c r="E28" s="136"/>
      <c r="F28" s="20" t="str">
        <f ca="1">랜덤!E21</f>
        <v>SUT/GST/UAT 점검</v>
      </c>
      <c r="G28" s="6" t="s">
        <v>10</v>
      </c>
      <c r="H28" s="7"/>
    </row>
    <row r="29" spans="2:14" ht="30" hidden="1" customHeight="1" x14ac:dyDescent="0.3">
      <c r="B29" s="143"/>
      <c r="C29" s="144"/>
      <c r="D29" s="137"/>
      <c r="E29" s="138"/>
      <c r="F29" s="12" t="s">
        <v>9</v>
      </c>
      <c r="G29" s="6"/>
      <c r="H29" s="7"/>
    </row>
    <row r="30" spans="2:14" ht="34.5" customHeight="1" x14ac:dyDescent="0.3">
      <c r="B30" s="145" t="s">
        <v>103</v>
      </c>
      <c r="C30" s="146"/>
      <c r="D30" s="146"/>
      <c r="E30" s="146"/>
      <c r="F30" s="146"/>
      <c r="G30" s="146"/>
      <c r="H30" s="147"/>
    </row>
    <row r="31" spans="2:14" ht="34.5" customHeight="1" x14ac:dyDescent="0.3">
      <c r="B31" s="148"/>
      <c r="C31" s="149"/>
      <c r="D31" s="149"/>
      <c r="E31" s="149"/>
      <c r="F31" s="149"/>
      <c r="G31" s="149"/>
      <c r="H31" s="150"/>
      <c r="N31" s="1" t="s">
        <v>102</v>
      </c>
    </row>
    <row r="32" spans="2:14" ht="34.5" customHeight="1" x14ac:dyDescent="0.3">
      <c r="B32" s="148"/>
      <c r="C32" s="149"/>
      <c r="D32" s="149"/>
      <c r="E32" s="149"/>
      <c r="F32" s="149"/>
      <c r="G32" s="149"/>
      <c r="H32" s="150"/>
    </row>
    <row r="33" spans="2:8" ht="34.5" customHeight="1" thickBot="1" x14ac:dyDescent="0.35">
      <c r="B33" s="151"/>
      <c r="C33" s="152"/>
      <c r="D33" s="152"/>
      <c r="E33" s="152"/>
      <c r="F33" s="152"/>
      <c r="G33" s="152"/>
      <c r="H33" s="153"/>
    </row>
    <row r="34" spans="2:8" ht="17.25" customHeight="1" x14ac:dyDescent="0.3">
      <c r="B34" s="1" t="s">
        <v>101</v>
      </c>
      <c r="D34" s="9"/>
      <c r="E34" s="9"/>
      <c r="F34" s="10"/>
    </row>
    <row r="35" spans="2:8" x14ac:dyDescent="0.3">
      <c r="F35" s="11"/>
    </row>
  </sheetData>
  <mergeCells count="14">
    <mergeCell ref="B2:F3"/>
    <mergeCell ref="B4:F4"/>
    <mergeCell ref="D24:E29"/>
    <mergeCell ref="B24:C29"/>
    <mergeCell ref="B30:H33"/>
    <mergeCell ref="B18:C23"/>
    <mergeCell ref="B12:C17"/>
    <mergeCell ref="D12:E17"/>
    <mergeCell ref="D18:E23"/>
    <mergeCell ref="B6:C11"/>
    <mergeCell ref="D6:E11"/>
    <mergeCell ref="B5:C5"/>
    <mergeCell ref="D5:E5"/>
    <mergeCell ref="G4:H4"/>
  </mergeCells>
  <phoneticPr fontId="1" type="noConversion"/>
  <dataValidations count="1">
    <dataValidation type="list" allowBlank="1" showInputMessage="1" showErrorMessage="1" sqref="P2">
      <formula1>"1,2,3,4"</formula1>
    </dataValidation>
  </dataValidations>
  <printOptions horizontalCentered="1"/>
  <pageMargins left="0.25" right="0.25" top="0.75" bottom="0.75" header="0.3" footer="0.3"/>
  <pageSetup paperSize="9"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90"/>
  <sheetViews>
    <sheetView workbookViewId="0">
      <selection activeCell="T23" sqref="T23"/>
    </sheetView>
  </sheetViews>
  <sheetFormatPr defaultRowHeight="16.5" x14ac:dyDescent="0.3"/>
  <cols>
    <col min="1" max="1" width="8.75" customWidth="1"/>
    <col min="5" max="5" width="14.875" customWidth="1"/>
    <col min="12" max="12" width="9" style="25"/>
  </cols>
  <sheetData>
    <row r="1" spans="1:22" x14ac:dyDescent="0.3">
      <c r="A1" s="21" t="s">
        <v>106</v>
      </c>
      <c r="B1" t="s">
        <v>108</v>
      </c>
      <c r="D1" s="18"/>
      <c r="E1" s="18"/>
      <c r="F1" s="18"/>
      <c r="K1" s="17" t="s">
        <v>107</v>
      </c>
    </row>
    <row r="2" spans="1:22" x14ac:dyDescent="0.3">
      <c r="A2">
        <f t="shared" ref="A2:A33" ca="1" si="0">RANK(K2,$K$2:$K$90,0)</f>
        <v>42</v>
      </c>
      <c r="B2" s="22" t="s">
        <v>72</v>
      </c>
      <c r="D2" s="18">
        <v>1</v>
      </c>
      <c r="E2" t="str">
        <f ca="1">VLOOKUP(D2,$A$2:$B$90,2,0)</f>
        <v>Cooling Water Pump 전기실 점검</v>
      </c>
      <c r="F2" s="19"/>
      <c r="K2">
        <f t="shared" ref="K2:K33" ca="1" si="1">RAND()</f>
        <v>0.53833017115470394</v>
      </c>
      <c r="N2" s="172" t="s">
        <v>109</v>
      </c>
      <c r="O2" s="172"/>
      <c r="P2" s="172"/>
      <c r="Q2" s="172"/>
    </row>
    <row r="3" spans="1:22" x14ac:dyDescent="0.3">
      <c r="A3">
        <f t="shared" ca="1" si="0"/>
        <v>59</v>
      </c>
      <c r="B3" s="22" t="s">
        <v>54</v>
      </c>
      <c r="D3" s="16">
        <v>2</v>
      </c>
      <c r="E3" t="str">
        <f t="shared" ref="E3:E21" ca="1" si="2">VLOOKUP(D3,$A$2:$B$90,2,0)</f>
        <v>Bed Ash System 점검(3F)</v>
      </c>
      <c r="K3">
        <f t="shared" ca="1" si="1"/>
        <v>0.28745340521078377</v>
      </c>
      <c r="N3" s="172"/>
      <c r="O3" s="172"/>
      <c r="P3" s="172"/>
      <c r="Q3" s="172"/>
    </row>
    <row r="4" spans="1:22" x14ac:dyDescent="0.3">
      <c r="A4">
        <f t="shared" ca="1" si="0"/>
        <v>54</v>
      </c>
      <c r="B4" s="22" t="s">
        <v>29</v>
      </c>
      <c r="D4" s="16">
        <v>3</v>
      </c>
      <c r="E4" t="str">
        <f t="shared" ca="1" si="2"/>
        <v>GIS Area 점검</v>
      </c>
      <c r="F4" s="19"/>
      <c r="K4">
        <f t="shared" ca="1" si="1"/>
        <v>0.35190893103268317</v>
      </c>
      <c r="N4" s="172"/>
      <c r="O4" s="172"/>
      <c r="P4" s="172"/>
      <c r="Q4" s="172"/>
    </row>
    <row r="5" spans="1:22" x14ac:dyDescent="0.3">
      <c r="A5">
        <f t="shared" ca="1" si="0"/>
        <v>50</v>
      </c>
      <c r="B5" s="22" t="s">
        <v>30</v>
      </c>
      <c r="D5" s="16">
        <v>4</v>
      </c>
      <c r="E5" t="str">
        <f t="shared" ca="1" si="2"/>
        <v>PA/SA/ID Fan 점검(1F)</v>
      </c>
      <c r="K5">
        <f t="shared" ca="1" si="1"/>
        <v>0.44656782695257735</v>
      </c>
      <c r="N5" s="172"/>
      <c r="O5" s="172"/>
      <c r="P5" s="172"/>
      <c r="Q5" s="172"/>
    </row>
    <row r="6" spans="1:22" x14ac:dyDescent="0.3">
      <c r="A6">
        <f t="shared" ca="1" si="0"/>
        <v>68</v>
      </c>
      <c r="B6" s="22" t="s">
        <v>67</v>
      </c>
      <c r="D6" s="16">
        <v>5</v>
      </c>
      <c r="E6" t="str">
        <f t="shared" ca="1" si="2"/>
        <v>Coal Daily Silo Air Canon 및 Silo 온도 점검(5F)</v>
      </c>
      <c r="F6" s="19"/>
      <c r="K6">
        <f t="shared" ca="1" si="1"/>
        <v>0.19225253073114035</v>
      </c>
      <c r="N6" s="172"/>
      <c r="O6" s="172"/>
      <c r="P6" s="172"/>
      <c r="Q6" s="172"/>
      <c r="S6" s="27">
        <v>1</v>
      </c>
      <c r="T6" s="27">
        <v>2</v>
      </c>
      <c r="U6" s="27">
        <v>3</v>
      </c>
      <c r="V6" s="27">
        <v>4</v>
      </c>
    </row>
    <row r="7" spans="1:22" x14ac:dyDescent="0.3">
      <c r="A7">
        <f t="shared" ca="1" si="0"/>
        <v>17</v>
      </c>
      <c r="B7" s="23" t="s">
        <v>98</v>
      </c>
      <c r="D7" s="16">
        <v>6</v>
      </c>
      <c r="E7" t="str">
        <f t="shared" ca="1" si="2"/>
        <v>ACWP, MCWP 점검</v>
      </c>
      <c r="K7">
        <f t="shared" ca="1" si="1"/>
        <v>0.81760050826194464</v>
      </c>
      <c r="N7" s="172"/>
      <c r="O7" s="172"/>
      <c r="P7" s="172"/>
      <c r="Q7" s="172"/>
      <c r="S7" s="173" t="s">
        <v>110</v>
      </c>
      <c r="T7" s="173" t="s">
        <v>111</v>
      </c>
      <c r="U7" s="173" t="s">
        <v>112</v>
      </c>
      <c r="V7" s="173" t="s">
        <v>113</v>
      </c>
    </row>
    <row r="8" spans="1:22" x14ac:dyDescent="0.3">
      <c r="A8">
        <f t="shared" ca="1" si="0"/>
        <v>5</v>
      </c>
      <c r="B8" s="22" t="s">
        <v>43</v>
      </c>
      <c r="D8" s="16">
        <v>7</v>
      </c>
      <c r="E8" t="str">
        <f t="shared" ca="1" si="2"/>
        <v>지하 HVAC Room 공조기 및 Sump Pump 점검</v>
      </c>
      <c r="F8" s="19"/>
      <c r="K8">
        <f t="shared" ca="1" si="1"/>
        <v>0.96876204624165307</v>
      </c>
      <c r="S8" s="174"/>
      <c r="T8" s="174"/>
      <c r="U8" s="174"/>
      <c r="V8" s="174"/>
    </row>
    <row r="9" spans="1:22" x14ac:dyDescent="0.3">
      <c r="A9">
        <f t="shared" ca="1" si="0"/>
        <v>71</v>
      </c>
      <c r="B9" s="22" t="s">
        <v>28</v>
      </c>
      <c r="D9" s="16">
        <v>8</v>
      </c>
      <c r="E9" t="str">
        <f t="shared" ca="1" si="2"/>
        <v>Drain To CCFT 및 Flash Tank Area 점검</v>
      </c>
      <c r="K9">
        <f t="shared" ca="1" si="1"/>
        <v>0.17526712769429609</v>
      </c>
      <c r="S9" s="174"/>
      <c r="T9" s="174"/>
      <c r="U9" s="174"/>
      <c r="V9" s="174"/>
    </row>
    <row r="10" spans="1:22" x14ac:dyDescent="0.3">
      <c r="A10">
        <f t="shared" ca="1" si="0"/>
        <v>78</v>
      </c>
      <c r="B10" s="24" t="s">
        <v>16</v>
      </c>
      <c r="D10" s="16">
        <v>9</v>
      </c>
      <c r="E10" t="str">
        <f t="shared" ca="1" si="2"/>
        <v>Spiess Valve(L,R) 점검(4F)</v>
      </c>
      <c r="F10" s="19"/>
      <c r="K10">
        <f t="shared" ca="1" si="1"/>
        <v>0.11023202563184675</v>
      </c>
      <c r="S10" s="174"/>
      <c r="T10" s="174"/>
      <c r="U10" s="174"/>
      <c r="V10" s="174"/>
    </row>
    <row r="11" spans="1:22" x14ac:dyDescent="0.3">
      <c r="A11">
        <f t="shared" ca="1" si="0"/>
        <v>41</v>
      </c>
      <c r="B11" s="22" t="s">
        <v>53</v>
      </c>
      <c r="D11" s="18">
        <v>10</v>
      </c>
      <c r="E11" t="str">
        <f t="shared" ca="1" si="2"/>
        <v>Limestone Blower/Bed Ash System 점검(1F)</v>
      </c>
      <c r="K11">
        <f t="shared" ca="1" si="1"/>
        <v>0.54238385494753572</v>
      </c>
      <c r="S11" s="174"/>
      <c r="T11" s="174"/>
      <c r="U11" s="174"/>
      <c r="V11" s="174"/>
    </row>
    <row r="12" spans="1:22" x14ac:dyDescent="0.3">
      <c r="A12">
        <f t="shared" ca="1" si="0"/>
        <v>23</v>
      </c>
      <c r="B12" s="23" t="s">
        <v>81</v>
      </c>
      <c r="D12" s="16">
        <v>11</v>
      </c>
      <c r="E12" t="str">
        <f t="shared" ca="1" si="2"/>
        <v>Steam Drum 점검(7F)</v>
      </c>
      <c r="F12" s="19"/>
      <c r="K12">
        <f t="shared" ca="1" si="1"/>
        <v>0.74169022201328749</v>
      </c>
    </row>
    <row r="13" spans="1:22" x14ac:dyDescent="0.3">
      <c r="A13">
        <f t="shared" ca="1" si="0"/>
        <v>10</v>
      </c>
      <c r="B13" s="22" t="s">
        <v>12</v>
      </c>
      <c r="D13" s="16">
        <v>12</v>
      </c>
      <c r="E13" t="str">
        <f t="shared" ca="1" si="2"/>
        <v>TBN Vacuum Seal Water 상태 점검</v>
      </c>
      <c r="K13">
        <f t="shared" ca="1" si="1"/>
        <v>0.91186827195614728</v>
      </c>
    </row>
    <row r="14" spans="1:22" x14ac:dyDescent="0.3">
      <c r="A14">
        <f t="shared" ca="1" si="0"/>
        <v>79</v>
      </c>
      <c r="B14" s="23" t="s">
        <v>78</v>
      </c>
      <c r="D14" s="16">
        <v>13</v>
      </c>
      <c r="E14" t="str">
        <f t="shared" ca="1" si="2"/>
        <v>Bio Feeding System 점검(Dosing, Slewing ..)(5F)</v>
      </c>
      <c r="F14" s="19"/>
      <c r="K14">
        <f t="shared" ca="1" si="1"/>
        <v>0.10676572870408241</v>
      </c>
    </row>
    <row r="15" spans="1:22" x14ac:dyDescent="0.3">
      <c r="A15">
        <f t="shared" ca="1" si="0"/>
        <v>31</v>
      </c>
      <c r="B15" s="22" t="s">
        <v>17</v>
      </c>
      <c r="D15" s="16">
        <v>14</v>
      </c>
      <c r="E15" t="str">
        <f t="shared" ca="1" si="2"/>
        <v>CCWP 점검</v>
      </c>
      <c r="K15">
        <f t="shared" ca="1" si="1"/>
        <v>0.67955324089901248</v>
      </c>
    </row>
    <row r="16" spans="1:22" x14ac:dyDescent="0.3">
      <c r="A16">
        <f t="shared" ca="1" si="0"/>
        <v>26</v>
      </c>
      <c r="B16" s="22" t="s">
        <v>34</v>
      </c>
      <c r="D16" s="16">
        <v>15</v>
      </c>
      <c r="E16" t="str">
        <f t="shared" ca="1" si="2"/>
        <v>Demi WTR Pump 점검</v>
      </c>
      <c r="F16" s="19"/>
      <c r="K16">
        <f t="shared" ca="1" si="1"/>
        <v>0.70849833240996318</v>
      </c>
    </row>
    <row r="17" spans="1:11" x14ac:dyDescent="0.3">
      <c r="A17">
        <f t="shared" ca="1" si="0"/>
        <v>56</v>
      </c>
      <c r="B17" s="22" t="s">
        <v>37</v>
      </c>
      <c r="D17" s="16">
        <v>16</v>
      </c>
      <c r="E17" t="str">
        <f t="shared" ca="1" si="2"/>
        <v>HP Process STM Line 점검</v>
      </c>
      <c r="K17">
        <f t="shared" ca="1" si="1"/>
        <v>0.3079503190875772</v>
      </c>
    </row>
    <row r="18" spans="1:11" x14ac:dyDescent="0.3">
      <c r="A18">
        <f t="shared" ca="1" si="0"/>
        <v>1</v>
      </c>
      <c r="B18" s="23" t="s">
        <v>73</v>
      </c>
      <c r="D18" s="16">
        <v>17</v>
      </c>
      <c r="E18" t="str">
        <f t="shared" ca="1" si="2"/>
        <v>Sonic Horn 점검(7F~8F)</v>
      </c>
      <c r="F18" s="19"/>
      <c r="K18">
        <f t="shared" ca="1" si="1"/>
        <v>0.98945370083184947</v>
      </c>
    </row>
    <row r="19" spans="1:11" x14ac:dyDescent="0.3">
      <c r="A19">
        <f t="shared" ca="1" si="0"/>
        <v>36</v>
      </c>
      <c r="B19" s="22" t="s">
        <v>71</v>
      </c>
      <c r="D19" s="16">
        <v>18</v>
      </c>
      <c r="E19" t="str">
        <f t="shared" ca="1" si="2"/>
        <v>BFP 및 Co2 Room 점검(1F)</v>
      </c>
      <c r="K19">
        <f t="shared" ca="1" si="1"/>
        <v>0.65705594149520741</v>
      </c>
    </row>
    <row r="20" spans="1:11" x14ac:dyDescent="0.3">
      <c r="A20">
        <f t="shared" ca="1" si="0"/>
        <v>11</v>
      </c>
      <c r="B20" s="22" t="s">
        <v>36</v>
      </c>
      <c r="D20" s="18">
        <v>19</v>
      </c>
      <c r="E20" t="str">
        <f t="shared" ca="1" si="2"/>
        <v>TBN 계측기 도압관 Leak 여부 점검</v>
      </c>
      <c r="F20" s="19"/>
      <c r="K20">
        <f t="shared" ca="1" si="1"/>
        <v>0.90843215211322792</v>
      </c>
    </row>
    <row r="21" spans="1:11" x14ac:dyDescent="0.3">
      <c r="A21">
        <f t="shared" ca="1" si="0"/>
        <v>63</v>
      </c>
      <c r="B21" s="22" t="s">
        <v>24</v>
      </c>
      <c r="D21" s="16">
        <v>20</v>
      </c>
      <c r="E21" t="str">
        <f t="shared" ca="1" si="2"/>
        <v>SUT/GST/UAT 점검</v>
      </c>
      <c r="K21">
        <f t="shared" ca="1" si="1"/>
        <v>0.23994007555298857</v>
      </c>
    </row>
    <row r="22" spans="1:11" x14ac:dyDescent="0.3">
      <c r="A22">
        <f t="shared" ca="1" si="0"/>
        <v>75</v>
      </c>
      <c r="B22" s="22" t="s">
        <v>76</v>
      </c>
      <c r="K22">
        <f t="shared" ca="1" si="1"/>
        <v>0.14006987112886904</v>
      </c>
    </row>
    <row r="23" spans="1:11" x14ac:dyDescent="0.3">
      <c r="A23">
        <f t="shared" ca="1" si="0"/>
        <v>57</v>
      </c>
      <c r="B23" s="23" t="s">
        <v>87</v>
      </c>
      <c r="K23">
        <f t="shared" ca="1" si="1"/>
        <v>0.29756220813889456</v>
      </c>
    </row>
    <row r="24" spans="1:11" x14ac:dyDescent="0.3">
      <c r="A24">
        <f t="shared" ca="1" si="0"/>
        <v>8</v>
      </c>
      <c r="B24" s="22" t="s">
        <v>57</v>
      </c>
      <c r="K24">
        <f t="shared" ca="1" si="1"/>
        <v>0.94799926349012309</v>
      </c>
    </row>
    <row r="25" spans="1:11" x14ac:dyDescent="0.3">
      <c r="A25">
        <f t="shared" ca="1" si="0"/>
        <v>15</v>
      </c>
      <c r="B25" s="23" t="s">
        <v>82</v>
      </c>
      <c r="K25">
        <f t="shared" ca="1" si="1"/>
        <v>0.85796736428101483</v>
      </c>
    </row>
    <row r="26" spans="1:11" x14ac:dyDescent="0.3">
      <c r="A26">
        <f t="shared" ca="1" si="0"/>
        <v>83</v>
      </c>
      <c r="B26" s="23" t="s">
        <v>83</v>
      </c>
      <c r="K26">
        <f t="shared" ca="1" si="1"/>
        <v>8.7149050098827896E-2</v>
      </c>
    </row>
    <row r="27" spans="1:11" x14ac:dyDescent="0.3">
      <c r="A27">
        <f t="shared" ca="1" si="0"/>
        <v>65</v>
      </c>
      <c r="B27" s="22" t="s">
        <v>21</v>
      </c>
      <c r="K27">
        <f t="shared" ca="1" si="1"/>
        <v>0.22779370683503308</v>
      </c>
    </row>
    <row r="28" spans="1:11" x14ac:dyDescent="0.3">
      <c r="A28">
        <f t="shared" ca="1" si="0"/>
        <v>28</v>
      </c>
      <c r="B28" s="22" t="s">
        <v>52</v>
      </c>
      <c r="K28">
        <f t="shared" ca="1" si="1"/>
        <v>0.69444994749291555</v>
      </c>
    </row>
    <row r="29" spans="1:11" x14ac:dyDescent="0.3">
      <c r="A29">
        <f t="shared" ca="1" si="0"/>
        <v>14</v>
      </c>
      <c r="B29" s="22" t="s">
        <v>53</v>
      </c>
      <c r="K29">
        <f t="shared" ca="1" si="1"/>
        <v>0.85938575113761362</v>
      </c>
    </row>
    <row r="30" spans="1:11" x14ac:dyDescent="0.3">
      <c r="A30">
        <f t="shared" ca="1" si="0"/>
        <v>53</v>
      </c>
      <c r="B30" s="22" t="s">
        <v>47</v>
      </c>
      <c r="K30">
        <f t="shared" ca="1" si="1"/>
        <v>0.3814999390813687</v>
      </c>
    </row>
    <row r="31" spans="1:11" x14ac:dyDescent="0.3">
      <c r="A31">
        <f t="shared" ca="1" si="0"/>
        <v>72</v>
      </c>
      <c r="B31" s="22" t="s">
        <v>20</v>
      </c>
      <c r="K31">
        <f t="shared" ca="1" si="1"/>
        <v>0.17399113442895076</v>
      </c>
    </row>
    <row r="32" spans="1:11" x14ac:dyDescent="0.3">
      <c r="A32">
        <f t="shared" ca="1" si="0"/>
        <v>51</v>
      </c>
      <c r="B32" s="22" t="s">
        <v>92</v>
      </c>
      <c r="K32">
        <f t="shared" ca="1" si="1"/>
        <v>0.44457323003908256</v>
      </c>
    </row>
    <row r="33" spans="1:11" x14ac:dyDescent="0.3">
      <c r="A33">
        <f t="shared" ca="1" si="0"/>
        <v>6</v>
      </c>
      <c r="B33" s="23" t="s">
        <v>74</v>
      </c>
      <c r="K33">
        <f t="shared" ca="1" si="1"/>
        <v>0.96584078518411975</v>
      </c>
    </row>
    <row r="34" spans="1:11" x14ac:dyDescent="0.3">
      <c r="A34">
        <f t="shared" ref="A34:A65" ca="1" si="3">RANK(K34,$K$2:$K$90,0)</f>
        <v>43</v>
      </c>
      <c r="B34" s="23" t="s">
        <v>94</v>
      </c>
      <c r="K34">
        <f t="shared" ref="K34:K65" ca="1" si="4">RAND()</f>
        <v>0.52594574054514487</v>
      </c>
    </row>
    <row r="35" spans="1:11" x14ac:dyDescent="0.3">
      <c r="A35">
        <f t="shared" ca="1" si="3"/>
        <v>74</v>
      </c>
      <c r="B35" s="22" t="s">
        <v>61</v>
      </c>
      <c r="K35">
        <f t="shared" ca="1" si="4"/>
        <v>0.1676507843910916</v>
      </c>
    </row>
    <row r="36" spans="1:11" x14ac:dyDescent="0.3">
      <c r="A36">
        <f t="shared" ca="1" si="3"/>
        <v>34</v>
      </c>
      <c r="B36" s="22" t="s">
        <v>40</v>
      </c>
      <c r="K36">
        <f t="shared" ca="1" si="4"/>
        <v>0.6765137950784712</v>
      </c>
    </row>
    <row r="37" spans="1:11" x14ac:dyDescent="0.3">
      <c r="A37">
        <f t="shared" ca="1" si="3"/>
        <v>55</v>
      </c>
      <c r="B37" s="23" t="s">
        <v>91</v>
      </c>
      <c r="K37">
        <f t="shared" ca="1" si="4"/>
        <v>0.34841766835699584</v>
      </c>
    </row>
    <row r="38" spans="1:11" x14ac:dyDescent="0.3">
      <c r="A38">
        <f t="shared" ca="1" si="3"/>
        <v>7</v>
      </c>
      <c r="B38" s="22" t="s">
        <v>63</v>
      </c>
      <c r="K38">
        <f t="shared" ca="1" si="4"/>
        <v>0.95822409347956372</v>
      </c>
    </row>
    <row r="39" spans="1:11" x14ac:dyDescent="0.3">
      <c r="A39">
        <f t="shared" ca="1" si="3"/>
        <v>77</v>
      </c>
      <c r="B39" s="22" t="s">
        <v>23</v>
      </c>
      <c r="K39">
        <f t="shared" ca="1" si="4"/>
        <v>0.11023475980006003</v>
      </c>
    </row>
    <row r="40" spans="1:11" x14ac:dyDescent="0.3">
      <c r="A40">
        <f t="shared" ca="1" si="3"/>
        <v>49</v>
      </c>
      <c r="B40" s="24" t="s">
        <v>32</v>
      </c>
      <c r="K40">
        <f t="shared" ca="1" si="4"/>
        <v>0.47039850134673766</v>
      </c>
    </row>
    <row r="41" spans="1:11" x14ac:dyDescent="0.3">
      <c r="A41">
        <f t="shared" ca="1" si="3"/>
        <v>38</v>
      </c>
      <c r="B41" s="22" t="s">
        <v>69</v>
      </c>
      <c r="K41">
        <f t="shared" ca="1" si="4"/>
        <v>0.57181427191093337</v>
      </c>
    </row>
    <row r="42" spans="1:11" x14ac:dyDescent="0.3">
      <c r="A42">
        <f t="shared" ca="1" si="3"/>
        <v>13</v>
      </c>
      <c r="B42" s="22" t="s">
        <v>25</v>
      </c>
      <c r="K42">
        <f t="shared" ca="1" si="4"/>
        <v>0.88039491526679381</v>
      </c>
    </row>
    <row r="43" spans="1:11" x14ac:dyDescent="0.3">
      <c r="A43">
        <f t="shared" ca="1" si="3"/>
        <v>73</v>
      </c>
      <c r="B43" s="23" t="s">
        <v>88</v>
      </c>
      <c r="K43">
        <f t="shared" ca="1" si="4"/>
        <v>0.17241429529467578</v>
      </c>
    </row>
    <row r="44" spans="1:11" x14ac:dyDescent="0.3">
      <c r="A44">
        <f t="shared" ca="1" si="3"/>
        <v>21</v>
      </c>
      <c r="B44" s="22" t="s">
        <v>68</v>
      </c>
      <c r="K44">
        <f t="shared" ca="1" si="4"/>
        <v>0.768795954944962</v>
      </c>
    </row>
    <row r="45" spans="1:11" x14ac:dyDescent="0.3">
      <c r="A45">
        <f t="shared" ca="1" si="3"/>
        <v>22</v>
      </c>
      <c r="B45" s="23" t="s">
        <v>75</v>
      </c>
      <c r="K45">
        <f t="shared" ca="1" si="4"/>
        <v>0.74726759272832788</v>
      </c>
    </row>
    <row r="46" spans="1:11" x14ac:dyDescent="0.3">
      <c r="A46">
        <f t="shared" ca="1" si="3"/>
        <v>70</v>
      </c>
      <c r="B46" s="23" t="s">
        <v>79</v>
      </c>
      <c r="K46">
        <f t="shared" ca="1" si="4"/>
        <v>0.17984421583120902</v>
      </c>
    </row>
    <row r="47" spans="1:11" x14ac:dyDescent="0.3">
      <c r="A47">
        <f t="shared" ca="1" si="3"/>
        <v>82</v>
      </c>
      <c r="B47" s="22" t="s">
        <v>44</v>
      </c>
      <c r="K47">
        <f t="shared" ca="1" si="4"/>
        <v>9.216585142145417E-2</v>
      </c>
    </row>
    <row r="48" spans="1:11" x14ac:dyDescent="0.3">
      <c r="A48">
        <f t="shared" ca="1" si="3"/>
        <v>4</v>
      </c>
      <c r="B48" s="24" t="s">
        <v>14</v>
      </c>
      <c r="K48">
        <f t="shared" ca="1" si="4"/>
        <v>0.97094814172981847</v>
      </c>
    </row>
    <row r="49" spans="1:11" x14ac:dyDescent="0.3">
      <c r="A49">
        <f t="shared" ca="1" si="3"/>
        <v>84</v>
      </c>
      <c r="B49" s="23" t="s">
        <v>95</v>
      </c>
      <c r="K49">
        <f t="shared" ca="1" si="4"/>
        <v>7.5935030645865487E-2</v>
      </c>
    </row>
    <row r="50" spans="1:11" x14ac:dyDescent="0.3">
      <c r="A50">
        <f t="shared" ca="1" si="3"/>
        <v>12</v>
      </c>
      <c r="B50" s="22" t="s">
        <v>66</v>
      </c>
      <c r="K50">
        <f t="shared" ca="1" si="4"/>
        <v>0.90438017260703052</v>
      </c>
    </row>
    <row r="51" spans="1:11" x14ac:dyDescent="0.3">
      <c r="A51">
        <f t="shared" ca="1" si="3"/>
        <v>24</v>
      </c>
      <c r="B51" s="22" t="s">
        <v>45</v>
      </c>
      <c r="K51">
        <f t="shared" ca="1" si="4"/>
        <v>0.73888177161131419</v>
      </c>
    </row>
    <row r="52" spans="1:11" x14ac:dyDescent="0.3">
      <c r="A52">
        <f t="shared" ca="1" si="3"/>
        <v>45</v>
      </c>
      <c r="B52" s="22" t="s">
        <v>38</v>
      </c>
      <c r="K52">
        <f t="shared" ca="1" si="4"/>
        <v>0.5225706077151403</v>
      </c>
    </row>
    <row r="53" spans="1:11" x14ac:dyDescent="0.3">
      <c r="A53">
        <f t="shared" ca="1" si="3"/>
        <v>25</v>
      </c>
      <c r="B53" s="24" t="s">
        <v>49</v>
      </c>
      <c r="K53">
        <f t="shared" ca="1" si="4"/>
        <v>0.73511414518126283</v>
      </c>
    </row>
    <row r="54" spans="1:11" x14ac:dyDescent="0.3">
      <c r="A54">
        <f t="shared" ca="1" si="3"/>
        <v>69</v>
      </c>
      <c r="B54" s="22" t="s">
        <v>97</v>
      </c>
      <c r="K54">
        <f t="shared" ca="1" si="4"/>
        <v>0.18514139180439071</v>
      </c>
    </row>
    <row r="55" spans="1:11" x14ac:dyDescent="0.3">
      <c r="A55">
        <f t="shared" ca="1" si="3"/>
        <v>80</v>
      </c>
      <c r="B55" s="22" t="s">
        <v>65</v>
      </c>
      <c r="K55">
        <f t="shared" ca="1" si="4"/>
        <v>9.7289626030961474E-2</v>
      </c>
    </row>
    <row r="56" spans="1:11" x14ac:dyDescent="0.3">
      <c r="A56">
        <f t="shared" ca="1" si="3"/>
        <v>67</v>
      </c>
      <c r="B56" s="23" t="s">
        <v>84</v>
      </c>
      <c r="K56">
        <f t="shared" ca="1" si="4"/>
        <v>0.19526041162712038</v>
      </c>
    </row>
    <row r="57" spans="1:11" x14ac:dyDescent="0.3">
      <c r="A57">
        <f t="shared" ca="1" si="3"/>
        <v>27</v>
      </c>
      <c r="B57" s="22" t="s">
        <v>41</v>
      </c>
      <c r="K57">
        <f t="shared" ca="1" si="4"/>
        <v>0.69451618948414129</v>
      </c>
    </row>
    <row r="58" spans="1:11" x14ac:dyDescent="0.3">
      <c r="A58">
        <f t="shared" ca="1" si="3"/>
        <v>39</v>
      </c>
      <c r="B58" s="23" t="s">
        <v>90</v>
      </c>
      <c r="K58">
        <f t="shared" ca="1" si="4"/>
        <v>0.55509462008240484</v>
      </c>
    </row>
    <row r="59" spans="1:11" x14ac:dyDescent="0.3">
      <c r="A59">
        <f t="shared" ca="1" si="3"/>
        <v>48</v>
      </c>
      <c r="B59" s="22" t="s">
        <v>26</v>
      </c>
      <c r="K59">
        <f t="shared" ca="1" si="4"/>
        <v>0.47560217110620218</v>
      </c>
    </row>
    <row r="60" spans="1:11" x14ac:dyDescent="0.3">
      <c r="A60">
        <f t="shared" ca="1" si="3"/>
        <v>16</v>
      </c>
      <c r="B60" s="22" t="s">
        <v>60</v>
      </c>
      <c r="K60">
        <f t="shared" ca="1" si="4"/>
        <v>0.83893735062092401</v>
      </c>
    </row>
    <row r="61" spans="1:11" x14ac:dyDescent="0.3">
      <c r="A61">
        <f t="shared" ca="1" si="3"/>
        <v>32</v>
      </c>
      <c r="B61" s="22" t="s">
        <v>19</v>
      </c>
      <c r="K61">
        <f t="shared" ca="1" si="4"/>
        <v>0.678856985517303</v>
      </c>
    </row>
    <row r="62" spans="1:11" x14ac:dyDescent="0.3">
      <c r="A62">
        <f t="shared" ca="1" si="3"/>
        <v>3</v>
      </c>
      <c r="B62" s="23" t="s">
        <v>86</v>
      </c>
      <c r="K62">
        <f t="shared" ca="1" si="4"/>
        <v>0.98540105317200988</v>
      </c>
    </row>
    <row r="63" spans="1:11" x14ac:dyDescent="0.3">
      <c r="A63">
        <f t="shared" ca="1" si="3"/>
        <v>88</v>
      </c>
      <c r="B63" s="22" t="s">
        <v>59</v>
      </c>
      <c r="K63">
        <f t="shared" ca="1" si="4"/>
        <v>1.3371332263233171E-2</v>
      </c>
    </row>
    <row r="64" spans="1:11" x14ac:dyDescent="0.3">
      <c r="A64">
        <f t="shared" ca="1" si="3"/>
        <v>46</v>
      </c>
      <c r="B64" s="22" t="s">
        <v>96</v>
      </c>
      <c r="K64">
        <f t="shared" ca="1" si="4"/>
        <v>0.51133762863761667</v>
      </c>
    </row>
    <row r="65" spans="1:11" x14ac:dyDescent="0.3">
      <c r="A65">
        <f t="shared" ca="1" si="3"/>
        <v>58</v>
      </c>
      <c r="B65" s="22" t="s">
        <v>11</v>
      </c>
      <c r="K65">
        <f t="shared" ca="1" si="4"/>
        <v>0.29692497076829427</v>
      </c>
    </row>
    <row r="66" spans="1:11" x14ac:dyDescent="0.3">
      <c r="A66">
        <f t="shared" ref="A66:A90" ca="1" si="5">RANK(K66,$K$2:$K$90,0)</f>
        <v>19</v>
      </c>
      <c r="B66" s="22" t="s">
        <v>62</v>
      </c>
      <c r="K66">
        <f t="shared" ref="K66:K90" ca="1" si="6">RAND()</f>
        <v>0.77428130529734818</v>
      </c>
    </row>
    <row r="67" spans="1:11" x14ac:dyDescent="0.3">
      <c r="A67">
        <f t="shared" ca="1" si="5"/>
        <v>35</v>
      </c>
      <c r="B67" s="22" t="s">
        <v>42</v>
      </c>
      <c r="K67">
        <f t="shared" ca="1" si="6"/>
        <v>0.67125071381504486</v>
      </c>
    </row>
    <row r="68" spans="1:11" x14ac:dyDescent="0.3">
      <c r="A68">
        <f t="shared" ca="1" si="5"/>
        <v>64</v>
      </c>
      <c r="B68" s="22" t="s">
        <v>50</v>
      </c>
      <c r="K68">
        <f t="shared" ca="1" si="6"/>
        <v>0.23363841197146229</v>
      </c>
    </row>
    <row r="69" spans="1:11" x14ac:dyDescent="0.3">
      <c r="A69">
        <f t="shared" ca="1" si="5"/>
        <v>66</v>
      </c>
      <c r="B69" s="24" t="s">
        <v>15</v>
      </c>
      <c r="K69">
        <f t="shared" ca="1" si="6"/>
        <v>0.22512591372708324</v>
      </c>
    </row>
    <row r="70" spans="1:11" x14ac:dyDescent="0.3">
      <c r="A70">
        <f t="shared" ca="1" si="5"/>
        <v>86</v>
      </c>
      <c r="B70" s="24" t="s">
        <v>13</v>
      </c>
      <c r="K70">
        <f t="shared" ca="1" si="6"/>
        <v>2.951035964723947E-2</v>
      </c>
    </row>
    <row r="71" spans="1:11" x14ac:dyDescent="0.3">
      <c r="A71">
        <f t="shared" ca="1" si="5"/>
        <v>87</v>
      </c>
      <c r="B71" s="22" t="s">
        <v>89</v>
      </c>
      <c r="K71">
        <f t="shared" ca="1" si="6"/>
        <v>2.2688391034656807E-2</v>
      </c>
    </row>
    <row r="72" spans="1:11" x14ac:dyDescent="0.3">
      <c r="A72">
        <f t="shared" ca="1" si="5"/>
        <v>29</v>
      </c>
      <c r="B72" s="22" t="s">
        <v>31</v>
      </c>
      <c r="K72">
        <f t="shared" ca="1" si="6"/>
        <v>0.68654644376043383</v>
      </c>
    </row>
    <row r="73" spans="1:11" x14ac:dyDescent="0.3">
      <c r="A73">
        <f t="shared" ca="1" si="5"/>
        <v>9</v>
      </c>
      <c r="B73" s="22" t="s">
        <v>22</v>
      </c>
      <c r="K73">
        <f t="shared" ca="1" si="6"/>
        <v>0.9372794683734178</v>
      </c>
    </row>
    <row r="74" spans="1:11" x14ac:dyDescent="0.3">
      <c r="A74">
        <f t="shared" ca="1" si="5"/>
        <v>18</v>
      </c>
      <c r="B74" s="22" t="s">
        <v>18</v>
      </c>
      <c r="K74">
        <f t="shared" ca="1" si="6"/>
        <v>0.77989042989583457</v>
      </c>
    </row>
    <row r="75" spans="1:11" x14ac:dyDescent="0.3">
      <c r="A75">
        <f t="shared" ca="1" si="5"/>
        <v>81</v>
      </c>
      <c r="B75" s="22" t="s">
        <v>56</v>
      </c>
      <c r="K75">
        <f t="shared" ca="1" si="6"/>
        <v>9.5792826761541772E-2</v>
      </c>
    </row>
    <row r="76" spans="1:11" x14ac:dyDescent="0.3">
      <c r="A76">
        <f t="shared" ca="1" si="5"/>
        <v>76</v>
      </c>
      <c r="B76" s="23" t="s">
        <v>93</v>
      </c>
      <c r="K76">
        <f t="shared" ca="1" si="6"/>
        <v>0.11725051181951951</v>
      </c>
    </row>
    <row r="77" spans="1:11" x14ac:dyDescent="0.3">
      <c r="A77">
        <f t="shared" ca="1" si="5"/>
        <v>37</v>
      </c>
      <c r="B77" s="22" t="s">
        <v>55</v>
      </c>
      <c r="K77">
        <f t="shared" ca="1" si="6"/>
        <v>0.61181041082490972</v>
      </c>
    </row>
    <row r="78" spans="1:11" x14ac:dyDescent="0.3">
      <c r="A78">
        <f t="shared" ca="1" si="5"/>
        <v>62</v>
      </c>
      <c r="B78" s="24" t="s">
        <v>46</v>
      </c>
      <c r="K78">
        <f t="shared" ca="1" si="6"/>
        <v>0.25971312629095855</v>
      </c>
    </row>
    <row r="79" spans="1:11" x14ac:dyDescent="0.3">
      <c r="A79">
        <f t="shared" ca="1" si="5"/>
        <v>89</v>
      </c>
      <c r="B79" s="22" t="s">
        <v>58</v>
      </c>
      <c r="K79">
        <f t="shared" ca="1" si="6"/>
        <v>6.5262412957501903E-3</v>
      </c>
    </row>
    <row r="80" spans="1:11" x14ac:dyDescent="0.3">
      <c r="A80">
        <f t="shared" ca="1" si="5"/>
        <v>33</v>
      </c>
      <c r="B80" s="22" t="s">
        <v>64</v>
      </c>
      <c r="K80">
        <f t="shared" ca="1" si="6"/>
        <v>0.67804605222370196</v>
      </c>
    </row>
    <row r="81" spans="1:11" x14ac:dyDescent="0.3">
      <c r="A81">
        <f t="shared" ca="1" si="5"/>
        <v>30</v>
      </c>
      <c r="B81" s="22" t="s">
        <v>27</v>
      </c>
      <c r="K81">
        <f t="shared" ca="1" si="6"/>
        <v>0.68166298080400456</v>
      </c>
    </row>
    <row r="82" spans="1:11" x14ac:dyDescent="0.3">
      <c r="A82">
        <f t="shared" ca="1" si="5"/>
        <v>61</v>
      </c>
      <c r="B82" s="22" t="s">
        <v>39</v>
      </c>
      <c r="K82">
        <f t="shared" ca="1" si="6"/>
        <v>0.26666361647865422</v>
      </c>
    </row>
    <row r="83" spans="1:11" x14ac:dyDescent="0.3">
      <c r="A83">
        <f t="shared" ca="1" si="5"/>
        <v>40</v>
      </c>
      <c r="B83" s="22" t="s">
        <v>51</v>
      </c>
      <c r="K83">
        <f t="shared" ca="1" si="6"/>
        <v>0.54705331170872773</v>
      </c>
    </row>
    <row r="84" spans="1:11" x14ac:dyDescent="0.3">
      <c r="A84">
        <f t="shared" ca="1" si="5"/>
        <v>85</v>
      </c>
      <c r="B84" s="22" t="s">
        <v>35</v>
      </c>
      <c r="K84">
        <f t="shared" ca="1" si="6"/>
        <v>5.440030318640765E-2</v>
      </c>
    </row>
    <row r="85" spans="1:11" x14ac:dyDescent="0.3">
      <c r="A85">
        <f t="shared" ca="1" si="5"/>
        <v>60</v>
      </c>
      <c r="B85" s="23" t="s">
        <v>80</v>
      </c>
      <c r="K85">
        <f t="shared" ca="1" si="6"/>
        <v>0.28345809874454275</v>
      </c>
    </row>
    <row r="86" spans="1:11" x14ac:dyDescent="0.3">
      <c r="A86">
        <f t="shared" ca="1" si="5"/>
        <v>20</v>
      </c>
      <c r="B86" s="23" t="s">
        <v>85</v>
      </c>
      <c r="K86">
        <f t="shared" ca="1" si="6"/>
        <v>0.77231607432619298</v>
      </c>
    </row>
    <row r="87" spans="1:11" x14ac:dyDescent="0.3">
      <c r="A87">
        <f t="shared" ca="1" si="5"/>
        <v>52</v>
      </c>
      <c r="B87" s="22" t="s">
        <v>48</v>
      </c>
      <c r="K87">
        <f t="shared" ca="1" si="6"/>
        <v>0.39672847120786692</v>
      </c>
    </row>
    <row r="88" spans="1:11" x14ac:dyDescent="0.3">
      <c r="A88">
        <f t="shared" ca="1" si="5"/>
        <v>2</v>
      </c>
      <c r="B88" s="22" t="s">
        <v>33</v>
      </c>
      <c r="K88">
        <f t="shared" ca="1" si="6"/>
        <v>0.98905981813759203</v>
      </c>
    </row>
    <row r="89" spans="1:11" x14ac:dyDescent="0.3">
      <c r="A89">
        <f t="shared" ca="1" si="5"/>
        <v>47</v>
      </c>
      <c r="B89" s="22" t="s">
        <v>70</v>
      </c>
      <c r="K89">
        <f t="shared" ca="1" si="6"/>
        <v>0.48394596845437676</v>
      </c>
    </row>
    <row r="90" spans="1:11" x14ac:dyDescent="0.3">
      <c r="A90">
        <f t="shared" ca="1" si="5"/>
        <v>44</v>
      </c>
      <c r="B90" s="22" t="s">
        <v>77</v>
      </c>
      <c r="K90">
        <f t="shared" ca="1" si="6"/>
        <v>0.52317344148170952</v>
      </c>
    </row>
  </sheetData>
  <sortState ref="K2:L90">
    <sortCondition descending="1" ref="K1"/>
  </sortState>
  <mergeCells count="5">
    <mergeCell ref="N2:Q7"/>
    <mergeCell ref="S7:S11"/>
    <mergeCell ref="T7:T11"/>
    <mergeCell ref="U7:U11"/>
    <mergeCell ref="V7:V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전기 Sheet</vt:lpstr>
      <vt:lpstr>야간 순찰 점검일지 양식</vt:lpstr>
      <vt:lpstr>랜덤</vt:lpstr>
      <vt:lpstr>'야간 순찰 점검일지 양식'!Print_Area</vt:lpstr>
      <vt:lpstr>'전기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GSENR</dc:creator>
  <cp:lastModifiedBy>GSENR</cp:lastModifiedBy>
  <cp:lastPrinted>2025-02-13T11:56:04Z</cp:lastPrinted>
  <dcterms:created xsi:type="dcterms:W3CDTF">2018-12-05T02:22:44Z</dcterms:created>
  <dcterms:modified xsi:type="dcterms:W3CDTF">2025-02-13T11:56:08Z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Y:\0. 설비운영팀\00. 각종양식\일간 점검표\일간점검표 관리시트(이폴더사용하세요)\야간순찰점검일지.xlsx</vt:lpwstr>
  </property>
</Properties>
</file>